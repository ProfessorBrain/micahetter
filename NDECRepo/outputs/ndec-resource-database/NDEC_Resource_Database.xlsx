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df40fccdc245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ources" sheetId="1" r:id="Ra9535e789a394feb"/>
    <x:sheet xmlns:r="http://schemas.openxmlformats.org/officeDocument/2006/relationships" name="Guide" sheetId="2" r:id="R4c8c5c57008d45c7"/>
    <x:sheet xmlns:r="http://schemas.openxmlformats.org/officeDocument/2006/relationships" name="Lookups" sheetId="3" r:id="R2299b6c502c845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2">
    <x:font>
      <x:sz val="11"/>
      <x:name val="Carlito"/>
    </x:font>
    <x:font>
      <x:b/>
      <x:sz val="10"/>
      <x:color rgb="FFFFFFFF"/>
      <x:name val="Carlito"/>
    </x:font>
    <x:font>
      <x:sz val="9"/>
      <x:color rgb="FF242136"/>
      <x:name val="Carlito"/>
    </x:font>
    <x:font>
      <x:b/>
      <x:sz val="9"/>
      <x:color rgb="FF242136"/>
      <x:name val="Carlito"/>
    </x:font>
    <x:font>
      <x:b/>
      <x:sz val="20"/>
      <x:color rgb="FFFFFFFF"/>
      <x:name val="Carlito"/>
    </x:font>
    <x:font>
      <x:sz val="10"/>
      <x:color rgb="FF646073"/>
      <x:name val="Carlito"/>
    </x:font>
    <x:font>
      <x:sz val="11"/>
      <x:color rgb="FF242136"/>
      <x:name val="Carlito"/>
    </x:font>
    <x:font>
      <x:b/>
      <x:sz val="9"/>
      <x:color rgb="FF29235C"/>
      <x:name val="Carlito"/>
    </x:font>
    <x:font>
      <x:b/>
      <x:sz val="14"/>
      <x:color rgb="FF554BB8"/>
      <x:name val="Carlito"/>
    </x:font>
    <x:font>
      <x:b/>
      <x:sz val="12"/>
      <x:color rgb="FFFFFFFF"/>
      <x:name val="Carlito"/>
    </x:font>
    <x:font>
      <x:sz val="10"/>
      <x:color rgb="FF242136"/>
      <x:name val="Carlito"/>
    </x:font>
    <x:font>
      <x:b/>
      <x:sz val="20"/>
      <x:color rgb="FFFFFFFF"/>
      <x:name val="Aptos"/>
    </x:font>
    <x:font>
      <x:sz val="10"/>
      <x:color rgb="FF646073"/>
      <x:name val="Aptos"/>
    </x:font>
    <x:font>
      <x:sz val="11"/>
      <x:name val="Aptos"/>
    </x:font>
    <x:font>
      <x:b/>
      <x:sz val="9"/>
      <x:color rgb="FF29235C"/>
      <x:name val="Aptos"/>
    </x:font>
    <x:font>
      <x:b/>
      <x:sz val="14"/>
      <x:color rgb="FF554BB8"/>
      <x:name val="Aptos"/>
    </x:font>
    <x:font>
      <x:sz val="11"/>
      <x:color rgb="FF242136"/>
      <x:name val="Aptos"/>
    </x:font>
    <x:font>
      <x:b/>
      <x:sz val="12"/>
      <x:color rgb="FFFFFFFF"/>
      <x:name val="Aptos"/>
    </x:font>
    <x:font>
      <x:sz val="10"/>
      <x:color rgb="FF242136"/>
      <x:name val="Aptos"/>
    </x:font>
    <x:font>
      <x:b/>
      <x:sz val="10"/>
      <x:color rgb="FFFFFFFF"/>
      <x:name val="Aptos"/>
    </x:font>
    <x:font>
      <x:sz val="9"/>
      <x:color rgb="FF242136"/>
      <x:name val="Aptos"/>
    </x:font>
    <x:font>
      <x:b/>
      <x:sz val="18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29235C"/>
      </x:patternFill>
    </x:fill>
    <x:fill>
      <x:patternFill patternType="solid">
        <x:fgColor rgb="FFFFF9E8"/>
      </x:patternFill>
    </x:fill>
    <x:fill>
      <x:patternFill patternType="solid">
        <x:fgColor rgb="FFE9E6FF"/>
      </x:patternFill>
    </x:fill>
    <x:fill>
      <x:patternFill patternType="solid">
        <x:fgColor rgb="FFFAF8F3"/>
      </x:patternFill>
    </x:fill>
    <x:fill>
      <x:patternFill patternType="solid">
        <x:fgColor rgb="FF554BB8"/>
      </x:patternFill>
    </x:fill>
    <x:fill>
      <x:patternFill patternType="solid">
        <x:fgColor rgb="FFFFFFFF"/>
      </x:patternFill>
    </x:fill>
  </x:fills>
  <x:borders count="7">
    <x:border/>
    <x:border>
      <x:bottom style="thin">
        <x:color rgb="FFDDD9E9"/>
      </x:bottom>
    </x:border>
    <x:border>
      <x:top style="thin">
        <x:color rgb="FFDDD9E9"/>
      </x:top>
      <x:bottom style="thin">
        <x:color rgb="FFDDD9E9"/>
      </x:bottom>
    </x:border>
    <x:border>
      <x:top style="thin">
        <x:color rgb="FFDDD9E9"/>
      </x:top>
    </x:border>
    <x:border>
      <x:left style="thin">
        <x:color rgb="FFDDD9E9"/>
      </x:left>
      <x:top style="thin">
        <x:color rgb="FFDDD9E9"/>
      </x:top>
      <x:bottom style="thin">
        <x:color rgb="FFDDD9E9"/>
      </x:bottom>
    </x:border>
    <x:border>
      <x:right style="thin">
        <x:color rgb="FFDDD9E9"/>
      </x:right>
      <x:top style="thin">
        <x:color rgb="FFDDD9E9"/>
      </x:top>
      <x:bottom style="thin">
        <x:color rgb="FFDDD9E9"/>
      </x:bottom>
    </x:border>
    <x:border>
      <x:bottom style="medium">
        <x:color rgb="FF29235C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200" fontId="2" fillId="3" borderId="2" xfId="0" applyNumberFormat="1" applyFont="1" applyFill="1" applyBorder="1" applyAlignment="1">
      <x:alignment vertical="top" wrapText="1"/>
    </x:xf>
    <x:xf numFmtId="200" fontId="2" fillId="3" borderId="3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4" xfId="0" applyNumberFormat="1" applyFont="1" applyFill="1" applyBorder="1"/>
    <x:xf numFmtId="0" fontId="6" fillId="5" borderId="5" xfId="0" applyNumberFormat="1" applyFont="1" applyFill="1" applyBorder="1"/>
    <x:xf numFmtId="0" fontId="6" fillId="5" borderId="4" xfId="0" applyNumberFormat="1" applyFont="1" applyFill="1" applyBorder="1" applyAlignment="1">
      <x:alignment vertical="center"/>
    </x:xf>
    <x:xf numFmtId="0" fontId="6" fillId="5" borderId="5" xfId="0" applyNumberFormat="1" applyFont="1" applyFill="1" applyBorder="1" applyAlignment="1">
      <x:alignment vertical="center"/>
    </x:xf>
    <x:xf numFmtId="0" fontId="7" fillId="5" borderId="4" xfId="0" applyNumberFormat="1" applyFont="1" applyFill="1" applyBorder="1" applyAlignment="1">
      <x:alignment vertical="center"/>
    </x:xf>
    <x:xf numFmtId="0" fontId="8" fillId="5" borderId="5" xfId="0" applyNumberFormat="1" applyFont="1" applyFill="1" applyBorder="1" applyAlignment="1">
      <x:alignment vertical="center"/>
    </x:xf>
    <x:xf numFmtId="0" fontId="8" fillId="5" borderId="5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1" xfId="0" applyNumberFormat="1" applyFont="1" applyFill="1" applyBorder="1"/>
    <x:xf numFmtId="0" fontId="10" fillId="7" borderId="1" xfId="0" applyNumberFormat="1" applyFont="1" applyFill="1" applyBorder="1" applyAlignment="1">
      <x:alignment wrapText="1"/>
    </x:xf>
    <x:xf numFmtId="0" fontId="10" fillId="7" borderId="1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/>
    <x:xf numFmtId="0" fontId="10" fillId="5" borderId="1" xfId="0" applyNumberFormat="1" applyFont="1" applyFill="1" applyBorder="1"/>
    <x:xf numFmtId="0" fontId="10" fillId="5" borderId="1" xfId="0" applyNumberFormat="1" applyFont="1" applyFill="1" applyBorder="1" applyAlignment="1">
      <x:alignment wrapText="1"/>
    </x:xf>
    <x:xf numFmtId="0" fontId="10" fillId="5" borderId="1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/>
    <x:xf numFmtId="0" fontId="1" fillId="6" borderId="6" xfId="0" applyNumberFormat="1" applyFont="1" applyFill="1" applyBorder="1"/>
    <x:xf numFmtId="0" fontId="1" fillId="6" borderId="6" xfId="0" applyNumberFormat="1" applyFont="1" applyFill="1" applyBorder="1" applyAlignment="1">
      <x:alignment wrapText="1"/>
    </x:xf>
    <x:xf numFmtId="0" fontId="1" fillId="6" borderId="6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vertical="top" wrapText="1"/>
    </x:xf>
    <x:xf numFmtId="0" fontId="2" fillId="7" borderId="0" xfId="0" applyNumberFormat="1" applyFont="1" applyFill="1" applyBorder="1"/>
    <x:xf numFmtId="0" fontId="2" fillId="7" borderId="1" xfId="0" applyNumberFormat="1" applyFont="1" applyFill="1" applyBorder="1"/>
    <x:xf numFmtId="0" fontId="2" fillId="7" borderId="1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vertical="top" wrapText="1"/>
    </x:xf>
    <x:xf numFmtId="0" fontId="11" fillId="2" borderId="0" xfId="0" applyNumberFormat="1" applyFont="1" applyFill="1" applyBorder="1" applyAlignment="1">
      <x:alignment vertical="center"/>
    </x:xf>
    <x:xf numFmtId="0" fontId="12" fillId="4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/>
    <x:xf numFmtId="0" fontId="14" fillId="5" borderId="4" xfId="0" applyNumberFormat="1" applyFont="1" applyFill="1" applyBorder="1" applyAlignment="1">
      <x:alignment vertical="center"/>
    </x:xf>
    <x:xf numFmtId="0" fontId="15" fillId="5" borderId="5" xfId="0" applyNumberFormat="1" applyFont="1" applyFill="1" applyBorder="1" applyAlignment="1">
      <x:alignment horizontal="center" vertical="center"/>
    </x:xf>
    <x:xf numFmtId="0" fontId="16" fillId="5" borderId="4" xfId="0" applyNumberFormat="1" applyFont="1" applyFill="1" applyBorder="1" applyAlignment="1">
      <x:alignment vertical="center"/>
    </x:xf>
    <x:xf numFmtId="0" fontId="16" fillId="5" borderId="5" xfId="0" applyNumberFormat="1" applyFont="1" applyFill="1" applyBorder="1" applyAlignment="1">
      <x:alignment vertical="center"/>
    </x:xf>
    <x:xf numFmtId="0" fontId="17" fillId="6" borderId="0" xfId="0" applyNumberFormat="1" applyFont="1" applyFill="1" applyBorder="1" applyAlignment="1">
      <x:alignment vertical="center"/>
    </x:xf>
    <x:xf numFmtId="0" fontId="18" fillId="7" borderId="1" xfId="0" applyNumberFormat="1" applyFont="1" applyFill="1" applyBorder="1" applyAlignment="1">
      <x:alignment vertical="center" wrapText="1"/>
    </x:xf>
    <x:xf numFmtId="0" fontId="18" fillId="5" borderId="1" xfId="0" applyNumberFormat="1" applyFont="1" applyFill="1" applyBorder="1" applyAlignment="1">
      <x:alignment vertical="center" wrapText="1"/>
    </x:xf>
    <x:xf numFmtId="0" fontId="17" fillId="2" borderId="0" xfId="0" applyNumberFormat="1" applyFont="1" applyFill="1" applyBorder="1" applyAlignment="1">
      <x:alignment vertical="center"/>
    </x:xf>
    <x:xf numFmtId="0" fontId="19" fillId="6" borderId="6" xfId="0" applyNumberFormat="1" applyFont="1" applyFill="1" applyBorder="1" applyAlignment="1">
      <x:alignment vertical="center" wrapText="1"/>
    </x:xf>
    <x:xf numFmtId="0" fontId="20" fillId="5" borderId="1" xfId="0" applyNumberFormat="1" applyFont="1" applyFill="1" applyBorder="1" applyAlignment="1">
      <x:alignment vertical="top" wrapText="1"/>
    </x:xf>
    <x:xf numFmtId="0" fontId="20" fillId="7" borderId="1" xfId="0" applyNumberFormat="1" applyFont="1" applyFill="1" applyBorder="1" applyAlignment="1">
      <x:alignment vertical="top" wrapText="1"/>
    </x:xf>
    <x:xf numFmtId="0" fontId="21" fillId="2" borderId="0" xfId="0" applyNumberFormat="1" applyFont="1" applyFill="1" applyBorder="1"/>
    <x:xf numFmtId="0" fontId="21" fillId="2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17633A"/>
      </x:font>
      <x:fill>
        <x:patternFill patternType="solid">
          <x:bgColor rgb="FFDFF5E8"/>
        </x:patternFill>
      </x:fill>
    </x:dxf>
    <x:dxf>
      <x:font>
        <x:b/>
        <x:color rgb="FF805A00"/>
      </x:font>
      <x:fill>
        <x:patternFill patternType="solid">
          <x:bgColor rgb="FFFFF0CC"/>
        </x:patternFill>
      </x:fill>
    </x:dxf>
    <x:dxf>
      <x:font>
        <x:b/>
        <x:color rgb="FF97344A"/>
      </x:font>
      <x:fill>
        <x:patternFill patternType="solid">
          <x:bgColor rgb="FFFCE3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1a7b2217d54ffc" /><Relationship Type="http://schemas.openxmlformats.org/officeDocument/2006/relationships/theme" Target="/xl/theme/theme1.xml" Id="R9628a10a0c7c432b" /><Relationship Type="http://schemas.openxmlformats.org/officeDocument/2006/relationships/sharedStrings" Target="/xl/sharedStrings.xml" Id="R0f9f927c32ed4582" /><Relationship Type="http://schemas.openxmlformats.org/officeDocument/2006/relationships/worksheet" Target="/xl/worksheets/sheet1.xml" Id="Ra9535e789a394feb" /><Relationship Type="http://schemas.openxmlformats.org/officeDocument/2006/relationships/worksheet" Target="/xl/worksheets/sheet2.xml" Id="R4c8c5c57008d45c7" /><Relationship Type="http://schemas.openxmlformats.org/officeDocument/2006/relationships/worksheet" Target="/xl/worksheets/sheet3.xml" Id="R2299b6c502c845fe" /></Relationships>
</file>

<file path=xl/tables/table1.xml><?xml version="1.0" encoding="utf-8"?>
<x:table xmlns:x="http://schemas.openxmlformats.org/spreadsheetml/2006/main" id="1" name="ResourcesTable" displayName="ResourcesTable" ref="A1:P30" headerRowCount="1" totalsRowCount="0" totalsRowShown="0">
  <x:autoFilter ref="A1:P30"/>
  <x:tableColumns count="16">
    <x:tableColumn id="1" name="id"/>
    <x:tableColumn id="2" name="title"/>
    <x:tableColumn id="3" name="creator"/>
    <x:tableColumn id="4" name="description"/>
    <x:tableColumn id="5" name="level"/>
    <x:tableColumn id="6" name="specialties"/>
    <x:tableColumn id="7" name="population"/>
    <x:tableColumn id="8" name="format"/>
    <x:tableColumn id="9" name="review"/>
    <x:tableColumn id="10" name="access"/>
    <x:tableColumn id="11" name="duration"/>
    <x:tableColumn id="12" name="year"/>
    <x:tableColumn id="13" name="featured"/>
    <x:tableColumn id="14" name="url"/>
    <x:tableColumn id="15" name="tags"/>
    <x:tableColumn id="16" name="record_check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30a29d87b7646e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5" hidden="0" customWidth="1"/>
    <x:col min="3" max="3" width="28.75" hidden="0" customWidth="1"/>
    <x:col min="4" max="4" width="53.75" hidden="0" customWidth="1"/>
    <x:col min="5" max="5" width="25" hidden="0" customWidth="1"/>
    <x:col min="6" max="6" width="47.5" hidden="0" customWidth="1"/>
    <x:col min="7" max="7" width="13.130000114440918" hidden="0" customWidth="1"/>
    <x:col min="8" max="8" width="13.130000114440918" hidden="0" customWidth="1"/>
    <x:col min="9" max="9" width="13.130000114440918" hidden="0" customWidth="1"/>
    <x:col min="10" max="10" width="13.75" hidden="0" customWidth="1"/>
    <x:col min="11" max="11" width="18.1299991607666" hidden="0" customWidth="1"/>
    <x:col min="12" max="12" width="9.380000114440918" hidden="0" customWidth="1"/>
    <x:col min="13" max="13" width="12.5" hidden="0" customWidth="1"/>
    <x:col min="14" max="14" width="41.25" hidden="0" customWidth="1"/>
    <x:col min="15" max="15" width="47.5" hidden="0" customWidth="1"/>
    <x:col min="16" max="16" width="18.75" hidden="0" customWidth="1"/>
  </x:cols>
  <x:sheetData>
    <x:row r="1" ht="27" customHeight="1">
      <x:c r="A1" s="14" t="str">
        <x:v>id</x:v>
      </x:c>
      <x:c r="B1" s="14" t="str">
        <x:v>title</x:v>
      </x:c>
      <x:c r="C1" s="14" t="str">
        <x:v>creator</x:v>
      </x:c>
      <x:c r="D1" s="14" t="str">
        <x:v>description</x:v>
      </x:c>
      <x:c r="E1" s="14" t="str">
        <x:v>level</x:v>
      </x:c>
      <x:c r="F1" s="14" t="str">
        <x:v>specialties</x:v>
      </x:c>
      <x:c r="G1" s="14" t="str">
        <x:v>population</x:v>
      </x:c>
      <x:c r="H1" s="14" t="str">
        <x:v>format</x:v>
      </x:c>
      <x:c r="I1" s="14" t="str">
        <x:v>review</x:v>
      </x:c>
      <x:c r="J1" s="14" t="str">
        <x:v>access</x:v>
      </x:c>
      <x:c r="K1" s="14" t="str">
        <x:v>duration</x:v>
      </x:c>
      <x:c r="L1" s="14" t="str">
        <x:v>year</x:v>
      </x:c>
      <x:c r="M1" s="14" t="str">
        <x:v>featured</x:v>
      </x:c>
      <x:c r="N1" s="14" t="str">
        <x:v>url</x:v>
      </x:c>
      <x:c r="O1" s="14" t="str">
        <x:v>tags</x:v>
      </x:c>
      <x:c r="P1" s="14" t="str">
        <x:v>record_check</x:v>
      </x:c>
    </x:row>
    <x:row r="2" ht="57" customHeight="1">
      <x:c r="A2" s="19" t="n">
        <x:v>1</x:v>
      </x:c>
      <x:c r="B2" s="15" t="str">
        <x:v>NDEC Technology Toolkit</x:v>
      </x:c>
      <x:c r="C2" s="15" t="str">
        <x:v>Neurology Digital Education Collaborative</x:v>
      </x:c>
      <x:c r="D2" s="15" t="str">
        <x:v>A curated guide to digital tools for education, clinical care, research, advocacy, productivity, graphics, AI, and digital scholarship.</x:v>
      </x:c>
      <x:c r="E2" s="15" t="str">
        <x:v>Neurology Readiness</x:v>
      </x:c>
      <x:c r="F2" s="15" t="str">
        <x:v>Digital Education</x:v>
      </x:c>
      <x:c r="G2" s="15" t="str">
        <x:v>both</x:v>
      </x:c>
      <x:c r="H2" s="15" t="str">
        <x:v>toolkit</x:v>
      </x:c>
      <x:c r="I2" s="15"/>
      <x:c r="J2" s="15" t="str">
        <x:v>free</x:v>
      </x:c>
      <x:c r="K2" s="15" t="str">
        <x:v>Self-paced</x:v>
      </x:c>
      <x:c r="L2" s="19" t="n">
        <x:v>2026</x:v>
      </x:c>
      <x:c r="M2" s="19" t="n">
        <x:v>100</x:v>
      </x:c>
      <x:c r="N2" s="15" t="str">
        <x:v>https://ndec.institute/ndec-toolkit</x:v>
      </x:c>
      <x:c r="O2" s="15" t="str">
        <x:v>technology | teaching tools | AI | graphics | productivity | digital scholarship</x:v>
      </x:c>
      <x:c r="P2" s="16" t="str">
        <x:f>IF(A2="","",IF(COUNTIF($A$2:$A$500,A2)&gt;1,"Duplicate ID",IF(OR(B2="",C2="",D2="",E2="",F2="",G2="",H2="",J2="",K2="",L2="",M2="",N2="",O2=""),"Missing required field","OK")))</x:f>
        <x:v>OK</x:v>
      </x:c>
    </x:row>
    <x:row r="3" ht="57" customHeight="1">
      <x:c r="A3" s="19" t="n">
        <x:v>2</x:v>
      </x:c>
      <x:c r="B3" s="15" t="str">
        <x:v>Digital Education and Game Development: Neurdle</x:v>
      </x:c>
      <x:c r="C3" s="15" t="str">
        <x:v>Ali Christy and NDEC</x:v>
      </x:c>
      <x:c r="D3" s="15" t="str">
        <x:v>A practical reflection on using games to make neurology learning approachable, memorable, and easy to share in digital communities.</x:v>
      </x:c>
      <x:c r="E3" s="15" t="str">
        <x:v>General Neurology Essentials</x:v>
      </x:c>
      <x:c r="F3" s="15" t="str">
        <x:v>Digital Education | General Neurology | Pediatric Neurology</x:v>
      </x:c>
      <x:c r="G3" s="15" t="str">
        <x:v>both</x:v>
      </x:c>
      <x:c r="H3" s="15" t="str">
        <x:v>article</x:v>
      </x:c>
      <x:c r="I3" s="15"/>
      <x:c r="J3" s="15" t="str">
        <x:v>free</x:v>
      </x:c>
      <x:c r="K3" s="15" t="str">
        <x:v>6 min read</x:v>
      </x:c>
      <x:c r="L3" s="19" t="n">
        <x:v>2023</x:v>
      </x:c>
      <x:c r="M3" s="19" t="n">
        <x:v>78</x:v>
      </x:c>
      <x:c r="N3" s="15" t="str">
        <x:v>https://ndec.institute/blog/wvh9i28g63k54nx5djiskkvkomnuxy</x:v>
      </x:c>
      <x:c r="O3" s="15" t="str">
        <x:v>gamification | game design | teaching | digital scholarship</x:v>
      </x:c>
      <x:c r="P3" s="16" t="str">
        <x:f>IF(A3="","",IF(COUNTIF($A$2:$A$500,A3)&gt;1,"Duplicate ID",IF(OR(B3="",C3="",D3="",E3="",F3="",G3="",H3="",J3="",K3="",L3="",M3="",N3="",O3=""),"Missing required field","OK")))</x:f>
        <x:v>OK</x:v>
      </x:c>
    </x:row>
    <x:row r="4" ht="57" customHeight="1">
      <x:c r="A4" s="19" t="n">
        <x:v>3</x:v>
      </x:c>
      <x:c r="B4" s="15" t="str">
        <x:v>Putting Social Media on Your CV</x:v>
      </x:c>
      <x:c r="C4" s="15" t="str">
        <x:v>Ali Christy and NDEC</x:v>
      </x:c>
      <x:c r="D4" s="15" t="str">
        <x:v>Suggestions for documenting digital education, podcasts, social media portfolios, and online scholarly impact for promotion and career development.</x:v>
      </x:c>
      <x:c r="E4" s="15" t="str">
        <x:v>General Neurology Essentials</x:v>
      </x:c>
      <x:c r="F4" s="15" t="str">
        <x:v>Digital Education</x:v>
      </x:c>
      <x:c r="G4" s="15" t="str">
        <x:v>both</x:v>
      </x:c>
      <x:c r="H4" s="15" t="str">
        <x:v>article</x:v>
      </x:c>
      <x:c r="I4" s="15"/>
      <x:c r="J4" s="15" t="str">
        <x:v>free</x:v>
      </x:c>
      <x:c r="K4" s="15" t="str">
        <x:v>7 min read</x:v>
      </x:c>
      <x:c r="L4" s="19" t="n">
        <x:v>2023</x:v>
      </x:c>
      <x:c r="M4" s="19" t="n">
        <x:v>64</x:v>
      </x:c>
      <x:c r="N4" s="15" t="str">
        <x:v>https://ndec.institute/blog/godtxmk3o34ue52kskygz06wkwgjrx</x:v>
      </x:c>
      <x:c r="O4" s="15" t="str">
        <x:v>career | social media | portfolio | promotion | digital scholarship</x:v>
      </x:c>
      <x:c r="P4" s="16" t="str">
        <x:f>IF(A4="","",IF(COUNTIF($A$2:$A$500,A4)&gt;1,"Duplicate ID",IF(OR(B4="",C4="",D4="",E4="",F4="",G4="",H4="",J4="",K4="",L4="",M4="",N4="",O4=""),"Missing required field","OK")))</x:f>
        <x:v>OK</x:v>
      </x:c>
    </x:row>
    <x:row r="5" ht="57" customHeight="1">
      <x:c r="A5" s="19" t="n">
        <x:v>4</x:v>
      </x:c>
      <x:c r="B5" s="15" t="str">
        <x:v>Neurdle: A Daily Neurology Word Game</x:v>
      </x:c>
      <x:c r="C5" s="15" t="str">
        <x:v>Zachary London and Ali Christy</x:v>
      </x:c>
      <x:c r="D5" s="15" t="str">
        <x:v>A free daily word puzzle built around neurologic terms, names, and abbreviations, with a short learning point after each game.</x:v>
      </x:c>
      <x:c r="E5" s="15" t="str">
        <x:v>Neurology Readiness</x:v>
      </x:c>
      <x:c r="F5" s="15" t="str">
        <x:v>Digital Education | General Neurology | Neurogenetics</x:v>
      </x:c>
      <x:c r="G5" s="15" t="str">
        <x:v>both</x:v>
      </x:c>
      <x:c r="H5" s="15" t="str">
        <x:v>game</x:v>
      </x:c>
      <x:c r="I5" s="15"/>
      <x:c r="J5" s="15" t="str">
        <x:v>free</x:v>
      </x:c>
      <x:c r="K5" s="15" t="str">
        <x:v>3–5 min</x:v>
      </x:c>
      <x:c r="L5" s="19" t="n">
        <x:v>2026</x:v>
      </x:c>
      <x:c r="M5" s="19" t="n">
        <x:v>82</x:v>
      </x:c>
      <x:c r="N5" s="15" t="str">
        <x:v>https://neurdle.com/</x:v>
      </x:c>
      <x:c r="O5" s="15" t="str">
        <x:v>gamification | vocabulary | daily learning | microlearning</x:v>
      </x:c>
      <x:c r="P5" s="16" t="str">
        <x:f>IF(A5="","",IF(COUNTIF($A$2:$A$500,A5)&gt;1,"Duplicate ID",IF(OR(B5="",C5="",D5="",E5="",F5="",G5="",H5="",J5="",K5="",L5="",M5="",N5="",O5=""),"Missing required field","OK")))</x:f>
        <x:v>OK</x:v>
      </x:c>
    </x:row>
    <x:row r="6" ht="57" customHeight="1">
      <x:c r="A6" s="19" t="n">
        <x:v>5</x:v>
      </x:c>
      <x:c r="B6" s="15" t="str">
        <x:v>NeuroBytes® Free Educational Videos</x:v>
      </x:c>
      <x:c r="C6" s="15" t="str">
        <x:v>American Academy of Neurology</x:v>
      </x:c>
      <x:c r="D6" s="15" t="str">
        <x:v>A growing catalog of three-to-six-minute videos covering hot topics and emerging trends across neurology subspecialties.</x:v>
      </x:c>
      <x:c r="E6" s="15" t="str">
        <x:v>General Neurology Essentials</x:v>
      </x:c>
      <x:c r="F6" s="15" t="str">
        <x:v>General Neurology | Vascular Neurology &amp; Stroke | Epilepsy &amp; Clinical Neurophysiology | Movement Disorders | Headache Medicine | Multiple Sclerosis &amp; Neuroimmunology | Neuromuscular Medicine | Neuro-oncology | Sleep Neurology</x:v>
      </x:c>
      <x:c r="G6" s="15" t="str">
        <x:v>both</x:v>
      </x:c>
      <x:c r="H6" s="15" t="str">
        <x:v>video</x:v>
      </x:c>
      <x:c r="I6" s="15"/>
      <x:c r="J6" s="15" t="str">
        <x:v>member</x:v>
      </x:c>
      <x:c r="K6" s="15" t="str">
        <x:v>3–6 min each</x:v>
      </x:c>
      <x:c r="L6" s="19" t="n">
        <x:v>2026</x:v>
      </x:c>
      <x:c r="M6" s="19" t="n">
        <x:v>98</x:v>
      </x:c>
      <x:c r="N6" s="15" t="str">
        <x:v>https://www.aan.com/education/neurobytes</x:v>
      </x:c>
      <x:c r="O6" s="15" t="str">
        <x:v>microlearning | bite-sized | AAN | clinical update | subspecialty</x:v>
      </x:c>
      <x:c r="P6" s="16" t="str">
        <x:f>IF(A6="","",IF(COUNTIF($A$2:$A$500,A6)&gt;1,"Duplicate ID",IF(OR(B6="",C6="",D6="",E6="",F6="",G6="",H6="",J6="",K6="",L6="",M6="",N6="",O6=""),"Missing required field","OK")))</x:f>
        <x:v>OK</x:v>
      </x:c>
    </x:row>
    <x:row r="7" ht="57" customHeight="1">
      <x:c r="A7" s="19" t="n">
        <x:v>6</x:v>
      </x:c>
      <x:c r="B7" s="15" t="str">
        <x:v>NeuroBytes® Medical Student Series</x:v>
      </x:c>
      <x:c r="C7" s="15" t="str">
        <x:v>American Academy of Neurology</x:v>
      </x:c>
      <x:c r="D7" s="15" t="str">
        <x:v>Short neurology videos designed by medical students for medical students, spanning foundational concepts and common clinical topics.</x:v>
      </x:c>
      <x:c r="E7" s="15" t="str">
        <x:v>Neurology Readiness</x:v>
      </x:c>
      <x:c r="F7" s="15" t="str">
        <x:v>General Neurology | Vascular Neurology &amp; Stroke | Epilepsy &amp; Clinical Neurophysiology | Movement Disorders | Headache Medicine | Pediatric Neurology</x:v>
      </x:c>
      <x:c r="G7" s="15" t="str">
        <x:v>both</x:v>
      </x:c>
      <x:c r="H7" s="15" t="str">
        <x:v>video</x:v>
      </x:c>
      <x:c r="I7" s="15"/>
      <x:c r="J7" s="15" t="str">
        <x:v>member</x:v>
      </x:c>
      <x:c r="K7" s="15" t="str">
        <x:v>3–6 min each</x:v>
      </x:c>
      <x:c r="L7" s="19" t="n">
        <x:v>2026</x:v>
      </x:c>
      <x:c r="M7" s="19" t="n">
        <x:v>94</x:v>
      </x:c>
      <x:c r="N7" s="15" t="str">
        <x:v>https://www.aan.com/education/neurobytes</x:v>
      </x:c>
      <x:c r="O7" s="15" t="str">
        <x:v>medical students | clerkship | microlearning | AAN</x:v>
      </x:c>
      <x:c r="P7" s="16" t="str">
        <x:f>IF(A7="","",IF(COUNTIF($A$2:$A$500,A7)&gt;1,"Duplicate ID",IF(OR(B7="",C7="",D7="",E7="",F7="",G7="",H7="",J7="",K7="",L7="",M7="",N7="",O7=""),"Missing required field","OK")))</x:f>
        <x:v>OK</x:v>
      </x:c>
    </x:row>
    <x:row r="8" ht="57" customHeight="1">
      <x:c r="A8" s="19" t="n">
        <x:v>7</x:v>
      </x:c>
      <x:c r="B8" s="15" t="str">
        <x:v>Medical Student Neurology Educational Resources</x:v>
      </x:c>
      <x:c r="C8" s="15" t="str">
        <x:v>American Academy of Neurology</x:v>
      </x:c>
      <x:c r="D8" s="15" t="str">
        <x:v>An AAN starting point for clerkship resources, subspecialty introductions, NeuroBytes, webinars, and career exploration.</x:v>
      </x:c>
      <x:c r="E8" s="15" t="str">
        <x:v>Neurology Readiness</x:v>
      </x:c>
      <x:c r="F8" s="15" t="str">
        <x:v>General Neurology | Behavioral Neurology &amp; Neuropsychiatry | Epilepsy &amp; Clinical Neurophysiology | Movement Disorders | Neuro-oncology | Pediatric Neurology | Vascular Neurology &amp; Stroke</x:v>
      </x:c>
      <x:c r="G8" s="15" t="str">
        <x:v>both</x:v>
      </x:c>
      <x:c r="H8" s="15" t="str">
        <x:v>toolkit</x:v>
      </x:c>
      <x:c r="I8" s="15"/>
      <x:c r="J8" s="15" t="str">
        <x:v>mixed</x:v>
      </x:c>
      <x:c r="K8" s="15" t="str">
        <x:v>Self-paced</x:v>
      </x:c>
      <x:c r="L8" s="19" t="n">
        <x:v>2026</x:v>
      </x:c>
      <x:c r="M8" s="19" t="n">
        <x:v>89</x:v>
      </x:c>
      <x:c r="N8" s="15" t="str">
        <x:v>https://www.aan.com/tools-resources/medical-student-educational-resources</x:v>
      </x:c>
      <x:c r="O8" s="15" t="str">
        <x:v>medical students | clerkship | career | AAN | webinars</x:v>
      </x:c>
      <x:c r="P8" s="16" t="str">
        <x:f>IF(A8="","",IF(COUNTIF($A$2:$A$500,A8)&gt;1,"Duplicate ID",IF(OR(B8="",C8="",D8="",E8="",F8="",G8="",H8="",J8="",K8="",L8="",M8="",N8="",O8=""),"Missing required field","OK")))</x:f>
        <x:v>OK</x:v>
      </x:c>
    </x:row>
    <x:row r="9" ht="57" customHeight="1">
      <x:c r="A9" s="19" t="n">
        <x:v>8</x:v>
      </x:c>
      <x:c r="B9" s="15" t="str">
        <x:v>Neurology Residency Education Offerings</x:v>
      </x:c>
      <x:c r="C9" s="15" t="str">
        <x:v>American Academy of Neurology</x:v>
      </x:c>
      <x:c r="D9" s="15" t="str">
        <x:v>A central guide to AAN residency resources including the RITE exam, Residents &amp; Fellows Section, teaching cases, images, and career materials.</x:v>
      </x:c>
      <x:c r="E9" s="15" t="str">
        <x:v>Core Neurology Practice</x:v>
      </x:c>
      <x:c r="F9" s="15" t="str">
        <x:v>General Neurology | Digital Education | Vascular Neurology &amp; Stroke | Epilepsy &amp; Clinical Neurophysiology | Movement Disorders | Neuromuscular Medicine</x:v>
      </x:c>
      <x:c r="G9" s="15" t="str">
        <x:v>both</x:v>
      </x:c>
      <x:c r="H9" s="15" t="str">
        <x:v>toolkit</x:v>
      </x:c>
      <x:c r="I9" s="15"/>
      <x:c r="J9" s="15" t="str">
        <x:v>mixed</x:v>
      </x:c>
      <x:c r="K9" s="15" t="str">
        <x:v>Self-paced</x:v>
      </x:c>
      <x:c r="L9" s="19" t="n">
        <x:v>2026</x:v>
      </x:c>
      <x:c r="M9" s="19" t="n">
        <x:v>87</x:v>
      </x:c>
      <x:c r="N9" s="15" t="str">
        <x:v>https://www.aan.com/education/resident-education-offerings</x:v>
      </x:c>
      <x:c r="O9" s="15" t="str">
        <x:v>residents | RITE | board review | AAN | career</x:v>
      </x:c>
      <x:c r="P9" s="16" t="str">
        <x:f>IF(A9="","",IF(COUNTIF($A$2:$A$500,A9)&gt;1,"Duplicate ID",IF(OR(B9="",C9="",D9="",E9="",F9="",G9="",H9="",J9="",K9="",L9="",M9="",N9="",O9=""),"Missing required field","OK")))</x:f>
        <x:v>OK</x:v>
      </x:c>
    </x:row>
    <x:row r="10" ht="57" customHeight="1">
      <x:c r="A10" s="19" t="n">
        <x:v>9</x:v>
      </x:c>
      <x:c r="B10" s="15" t="str">
        <x:v>Neurology Education</x:v>
      </x:c>
      <x:c r="C10" s="15" t="str">
        <x:v>American Academy of Neurology / Neurology Journals</x:v>
      </x:c>
      <x:c r="D10" s="15" t="str">
        <x:v>An open-access, peer-reviewed journal devoted to neurologic and neuroscience education, with research, curriculum innovations, and teaching aids.</x:v>
      </x:c>
      <x:c r="E10" s="15" t="str">
        <x:v>Advanced &amp; Subspecialty Practice</x:v>
      </x:c>
      <x:c r="F10" s="15" t="str">
        <x:v>Digital Education | General Neurology</x:v>
      </x:c>
      <x:c r="G10" s="15" t="str">
        <x:v>both</x:v>
      </x:c>
      <x:c r="H10" s="15" t="str">
        <x:v>article</x:v>
      </x:c>
      <x:c r="I10" s="15"/>
      <x:c r="J10" s="15" t="str">
        <x:v>free</x:v>
      </x:c>
      <x:c r="K10" s="15" t="str">
        <x:v>Collection</x:v>
      </x:c>
      <x:c r="L10" s="19" t="n">
        <x:v>2026</x:v>
      </x:c>
      <x:c r="M10" s="19" t="n">
        <x:v>96</x:v>
      </x:c>
      <x:c r="N10" s="15" t="str">
        <x:v>https://www.neurology.org/journal/ne9</x:v>
      </x:c>
      <x:c r="O10" s="15" t="str">
        <x:v>medical education | peer reviewed | curriculum | education research | open access</x:v>
      </x:c>
      <x:c r="P10" s="16" t="str">
        <x:f>IF(A10="","",IF(COUNTIF($A$2:$A$500,A10)&gt;1,"Duplicate ID",IF(OR(B10="",C10="",D10="",E10="",F10="",G10="",H10="",J10="",K10="",L10="",M10="",N10="",O10=""),"Missing required field","OK")))</x:f>
        <x:v>OK</x:v>
      </x:c>
    </x:row>
    <x:row r="11" ht="57" customHeight="1">
      <x:c r="A11" s="19" t="n">
        <x:v>10</x:v>
      </x:c>
      <x:c r="B11" s="15" t="str">
        <x:v>Teaching NeuroVisuals</x:v>
      </x:c>
      <x:c r="C11" s="15" t="str">
        <x:v>Neurology Education</x:v>
      </x:c>
      <x:c r="D11" s="15" t="str">
        <x:v>A peer-reviewed collection of infographics and teaching aids on EEG, brain death, stroke localization, vestibular examination, and other clinical topics.</x:v>
      </x:c>
      <x:c r="E11" s="15" t="str">
        <x:v>Core Neurology Practice</x:v>
      </x:c>
      <x:c r="F11" s="15" t="str">
        <x:v>Digital Education | Epilepsy &amp; Clinical Neurophysiology | Neurocritical Care | Vascular Neurology &amp; Stroke | Neuro-otology | Movement Disorders | Neuromuscular Medicine</x:v>
      </x:c>
      <x:c r="G11" s="15" t="str">
        <x:v>adult</x:v>
      </x:c>
      <x:c r="H11" s="15" t="str">
        <x:v>infographic</x:v>
      </x:c>
      <x:c r="I11" s="15"/>
      <x:c r="J11" s="15" t="str">
        <x:v>free</x:v>
      </x:c>
      <x:c r="K11" s="15" t="str">
        <x:v>Collection</x:v>
      </x:c>
      <x:c r="L11" s="19" t="n">
        <x:v>2026</x:v>
      </x:c>
      <x:c r="M11" s="19" t="n">
        <x:v>99</x:v>
      </x:c>
      <x:c r="N11" s="15" t="str">
        <x:v>https://www.neurology.org/ne9/teaching-neurovisuals</x:v>
      </x:c>
      <x:c r="O11" s="15" t="str">
        <x:v>teaching aid | EEG | brain death | HINTS | stroke localization | visual learning</x:v>
      </x:c>
      <x:c r="P11" s="16" t="str">
        <x:f>IF(A11="","",IF(COUNTIF($A$2:$A$500,A11)&gt;1,"Duplicate ID",IF(OR(B11="",C11="",D11="",E11="",F11="",G11="",H11="",J11="",K11="",L11="",M11="",N11="",O11=""),"Missing required field","OK")))</x:f>
        <x:v>OK</x:v>
      </x:c>
    </x:row>
    <x:row r="12" ht="57" customHeight="1">
      <x:c r="A12" s="19" t="n">
        <x:v>11</x:v>
      </x:c>
      <x:c r="B12" s="15" t="str">
        <x:v>Resident &amp; Fellow Teaching Video Collection</x:v>
      </x:c>
      <x:c r="C12" s="15" t="str">
        <x:v>Neurology Journals</x:v>
      </x:c>
      <x:c r="D12" s="15" t="str">
        <x:v>A topic-based collection of peer-reviewed teaching videos featuring clinical signs, imaging findings, movement disorders, seizures, and pediatric cases.</x:v>
      </x:c>
      <x:c r="E12" s="15" t="str">
        <x:v>Core Neurology Practice</x:v>
      </x:c>
      <x:c r="F12" s="15" t="str">
        <x:v>General Neurology | Vascular Neurology &amp; Stroke | Epilepsy &amp; Clinical Neurophysiology | Movement Disorders | Neuromuscular Medicine | Neuro-ophthalmology | Pediatric Neurology</x:v>
      </x:c>
      <x:c r="G12" s="15" t="str">
        <x:v>both</x:v>
      </x:c>
      <x:c r="H12" s="15" t="str">
        <x:v>video</x:v>
      </x:c>
      <x:c r="I12" s="15"/>
      <x:c r="J12" s="15" t="str">
        <x:v>free</x:v>
      </x:c>
      <x:c r="K12" s="15" t="str">
        <x:v>Collection</x:v>
      </x:c>
      <x:c r="L12" s="19" t="n">
        <x:v>2026</x:v>
      </x:c>
      <x:c r="M12" s="19" t="n">
        <x:v>97</x:v>
      </x:c>
      <x:c r="N12" s="15" t="str">
        <x:v>https://www.neurology.org/resident-fellow/collection/teaching-videos</x:v>
      </x:c>
      <x:c r="O12" s="15" t="str">
        <x:v>clinical signs | teaching video | resident | fellow | video neuroimage | peer reviewed</x:v>
      </x:c>
      <x:c r="P12" s="16" t="str">
        <x:f>IF(A12="","",IF(COUNTIF($A$2:$A$500,A12)&gt;1,"Duplicate ID",IF(OR(B12="",C12="",D12="",E12="",F12="",G12="",H12="",J12="",K12="",L12="",M12="",N12="",O12=""),"Missing required field","OK")))</x:f>
        <x:v>OK</x:v>
      </x:c>
    </x:row>
    <x:row r="13" ht="57" customHeight="1">
      <x:c r="A13" s="19" t="n">
        <x:v>12</x:v>
      </x:c>
      <x:c r="B13" s="15" t="str">
        <x:v>NeuDrawLogy: Original Neurology Infographics</x:v>
      </x:c>
      <x:c r="C13" s="15" t="str">
        <x:v>Gabriela Figueiredo Pucci, MD</x:v>
      </x:c>
      <x:c r="D13" s="15" t="str">
        <x:v>A searchable visual collection that simplifies neurologic syndromes, clinical reasoning, vascular neurology, neuro-ophthalmology, headache, and neuromuscular topics.</x:v>
      </x:c>
      <x:c r="E13" s="15" t="str">
        <x:v>General Neurology Essentials</x:v>
      </x:c>
      <x:c r="F13" s="15" t="str">
        <x:v>General Neurology | Neuro-ophthalmology | Vascular Neurology &amp; Stroke | Neuromuscular Medicine | Headache Medicine | Neurocritical Care | Neurohospitalist &amp; Acute Neurology</x:v>
      </x:c>
      <x:c r="G13" s="15" t="str">
        <x:v>adult</x:v>
      </x:c>
      <x:c r="H13" s="15" t="str">
        <x:v>infographic</x:v>
      </x:c>
      <x:c r="I13" s="15"/>
      <x:c r="J13" s="15" t="str">
        <x:v>free</x:v>
      </x:c>
      <x:c r="K13" s="15" t="str">
        <x:v>Collection</x:v>
      </x:c>
      <x:c r="L13" s="19" t="n">
        <x:v>2026</x:v>
      </x:c>
      <x:c r="M13" s="19" t="n">
        <x:v>95</x:v>
      </x:c>
      <x:c r="N13" s="15" t="str">
        <x:v>https://www.neudrawlogy.com/</x:v>
      </x:c>
      <x:c r="O13" s="15" t="str">
        <x:v>visual learning | clinical reasoning | localization | syndromes | infographics</x:v>
      </x:c>
      <x:c r="P13" s="16" t="str">
        <x:f>IF(A13="","",IF(COUNTIF($A$2:$A$500,A13)&gt;1,"Duplicate ID",IF(OR(B13="",C13="",D13="",E13="",F13="",G13="",H13="",J13="",K13="",L13="",M13="",N13="",O13=""),"Missing required field","OK")))</x:f>
        <x:v>OK</x:v>
      </x:c>
    </x:row>
    <x:row r="14" ht="57" customHeight="1">
      <x:c r="A14" s="19" t="n">
        <x:v>13</x:v>
      </x:c>
      <x:c r="B14" s="15" t="str">
        <x:v>Parinaud’s Syndrome</x:v>
      </x:c>
      <x:c r="C14" s="15" t="str">
        <x:v>Gabriela Figueiredo Pucci, MD / NeuDrawLogy</x:v>
      </x:c>
      <x:c r="D14" s="15" t="str">
        <x:v>A visual overview of the signs, dorsal midbrain localization, and major causes of Parinaud’s syndrome.</x:v>
      </x:c>
      <x:c r="E14" s="15" t="str">
        <x:v>General Neurology Essentials</x:v>
      </x:c>
      <x:c r="F14" s="15" t="str">
        <x:v>Neuro-ophthalmology | Neuro-oncology | Multiple Sclerosis &amp; Neuroimmunology | Vascular Neurology &amp; Stroke</x:v>
      </x:c>
      <x:c r="G14" s="15" t="str">
        <x:v>both</x:v>
      </x:c>
      <x:c r="H14" s="15" t="str">
        <x:v>infographic</x:v>
      </x:c>
      <x:c r="I14" s="15"/>
      <x:c r="J14" s="15" t="str">
        <x:v>free</x:v>
      </x:c>
      <x:c r="K14" s="15" t="str">
        <x:v>5 min</x:v>
      </x:c>
      <x:c r="L14" s="19" t="n">
        <x:v>2026</x:v>
      </x:c>
      <x:c r="M14" s="19" t="n">
        <x:v>83</x:v>
      </x:c>
      <x:c r="N14" s="15" t="str">
        <x:v>https://www.neudrawlogy.com/parinauds-syndrome</x:v>
      </x:c>
      <x:c r="O14" s="15" t="str">
        <x:v>Parinaud syndrome | dorsal midbrain | vertical gaze | localization | pupils</x:v>
      </x:c>
      <x:c r="P14" s="16" t="str">
        <x:f>IF(A14="","",IF(COUNTIF($A$2:$A$500,A14)&gt;1,"Duplicate ID",IF(OR(B14="",C14="",D14="",E14="",F14="",G14="",H14="",J14="",K14="",L14="",M14="",N14="",O14=""),"Missing required field","OK")))</x:f>
        <x:v>OK</x:v>
      </x:c>
    </x:row>
    <x:row r="15" ht="57" customHeight="1">
      <x:c r="A15" s="19" t="n">
        <x:v>14</x:v>
      </x:c>
      <x:c r="B15" s="15" t="str">
        <x:v>Basic Neurology Videos and Questions</x:v>
      </x:c>
      <x:c r="C15" s="15" t="str">
        <x:v>Yale School of Medicine</x:v>
      </x:c>
      <x:c r="D15" s="15" t="str">
        <x:v>Introductory mini-lectures with case-based questions and immediate feedback for medical students and new neurology residents.</x:v>
      </x:c>
      <x:c r="E15" s="15" t="str">
        <x:v>Neurology Readiness</x:v>
      </x:c>
      <x:c r="F15" s="15" t="str">
        <x:v>General Neurology | Behavioral Neurology &amp; Neuropsychiatry | Vascular Neurology &amp; Stroke | Epilepsy &amp; Clinical Neurophysiology | Headache Medicine | Movement Disorders | Multiple Sclerosis &amp; Neuroimmunology | Neuro-oncology | Neuromuscular Medicine</x:v>
      </x:c>
      <x:c r="G15" s="15" t="str">
        <x:v>adult</x:v>
      </x:c>
      <x:c r="H15" s="15" t="str">
        <x:v>module</x:v>
      </x:c>
      <x:c r="I15" s="15"/>
      <x:c r="J15" s="15" t="str">
        <x:v>free</x:v>
      </x:c>
      <x:c r="K15" s="15" t="str">
        <x:v>≤10 min each</x:v>
      </x:c>
      <x:c r="L15" s="19" t="n">
        <x:v>2024</x:v>
      </x:c>
      <x:c r="M15" s="19" t="n">
        <x:v>93</x:v>
      </x:c>
      <x:c r="N15" s="15" t="str">
        <x:v>https://campuspress.yale.edu/eegmodules/basic-neurology-videos-and-questions/</x:v>
      </x:c>
      <x:c r="O15" s="15" t="str">
        <x:v>medical student | new resident | case questions | mini lecture | fundamentals</x:v>
      </x:c>
      <x:c r="P15" s="16" t="str">
        <x:f>IF(A15="","",IF(COUNTIF($A$2:$A$500,A15)&gt;1,"Duplicate ID",IF(OR(B15="",C15="",D15="",E15="",F15="",G15="",H15="",J15="",K15="",L15="",M15="",N15="",O15=""),"Missing required field","OK")))</x:f>
        <x:v>OK</x:v>
      </x:c>
    </x:row>
    <x:row r="16" ht="57" customHeight="1">
      <x:c r="A16" s="19" t="n">
        <x:v>15</x:v>
      </x:c>
      <x:c r="B16" s="15" t="str">
        <x:v>EEG Modules for Residents, Fellows, and Technologists</x:v>
      </x:c>
      <x:c r="C16" s="15" t="str">
        <x:v>Yale School of Medicine</x:v>
      </x:c>
      <x:c r="D16" s="15" t="str">
        <x:v>An eleven-part video curriculum covering the fundamentals of EEG interpretation, supported by introductory neurology content and questions.</x:v>
      </x:c>
      <x:c r="E16" s="15" t="str">
        <x:v>Core Neurology Practice</x:v>
      </x:c>
      <x:c r="F16" s="15" t="str">
        <x:v>Epilepsy &amp; Clinical Neurophysiology | Neurocritical Care | Sleep Neurology | Pediatric Neurology</x:v>
      </x:c>
      <x:c r="G16" s="15" t="str">
        <x:v>both</x:v>
      </x:c>
      <x:c r="H16" s="15" t="str">
        <x:v>module</x:v>
      </x:c>
      <x:c r="I16" s="15"/>
      <x:c r="J16" s="15" t="str">
        <x:v>free</x:v>
      </x:c>
      <x:c r="K16" s="15" t="str">
        <x:v>11-part series</x:v>
      </x:c>
      <x:c r="L16" s="19" t="n">
        <x:v>2024</x:v>
      </x:c>
      <x:c r="M16" s="19" t="n">
        <x:v>91</x:v>
      </x:c>
      <x:c r="N16" s="15" t="str">
        <x:v>https://campuspress.yale.edu/eegmodules/</x:v>
      </x:c>
      <x:c r="O16" s="15" t="str">
        <x:v>EEG | electroencephalography | seizure | clinical neurophysiology</x:v>
      </x:c>
      <x:c r="P16" s="16" t="str">
        <x:f>IF(A16="","",IF(COUNTIF($A$2:$A$500,A16)&gt;1,"Duplicate ID",IF(OR(B16="",C16="",D16="",E16="",F16="",G16="",H16="",J16="",K16="",L16="",M16="",N16="",O16=""),"Missing required field","OK")))</x:f>
        <x:v>OK</x:v>
      </x:c>
    </x:row>
    <x:row r="17" ht="57" customHeight="1">
      <x:c r="A17" s="19" t="n">
        <x:v>16</x:v>
      </x:c>
      <x:c r="B17" s="15" t="str">
        <x:v>Interactive Movement Disorders Curriculum</x:v>
      </x:c>
      <x:c r="C17" s="15" t="str">
        <x:v>Yale School of Medicine</x:v>
      </x:c>
      <x:c r="D17" s="15" t="str">
        <x:v>An interactive, patient-video-based curriculum in movement disorders designed for neurology residents at any postgraduate year.</x:v>
      </x:c>
      <x:c r="E17" s="15" t="str">
        <x:v>Core Neurology Practice</x:v>
      </x:c>
      <x:c r="F17" s="15" t="str">
        <x:v>Movement Disorders | Neurogenetics | Behavioral Neurology &amp; Neuropsychiatry</x:v>
      </x:c>
      <x:c r="G17" s="15" t="str">
        <x:v>adult</x:v>
      </x:c>
      <x:c r="H17" s="15" t="str">
        <x:v>module</x:v>
      </x:c>
      <x:c r="I17" s="15"/>
      <x:c r="J17" s="15" t="str">
        <x:v>free</x:v>
      </x:c>
      <x:c r="K17" s="15" t="str">
        <x:v>Self-paced</x:v>
      </x:c>
      <x:c r="L17" s="19" t="n">
        <x:v>2024</x:v>
      </x:c>
      <x:c r="M17" s="19" t="n">
        <x:v>86</x:v>
      </x:c>
      <x:c r="N17" s="15" t="str">
        <x:v>https://movementmodules.yale.edu/</x:v>
      </x:c>
      <x:c r="O17" s="15" t="str">
        <x:v>patient video | movement phenomenology | resident curriculum | Parkinson disease</x:v>
      </x:c>
      <x:c r="P17" s="16" t="str">
        <x:f>IF(A17="","",IF(COUNTIF($A$2:$A$500,A17)&gt;1,"Duplicate ID",IF(OR(B17="",C17="",D17="",E17="",F17="",G17="",H17="",J17="",K17="",L17="",M17="",N17="",O17=""),"Missing required field","OK")))</x:f>
        <x:v>OK</x:v>
      </x:c>
    </x:row>
    <x:row r="18" ht="57" customHeight="1">
      <x:c r="A18" s="19" t="n">
        <x:v>17</x:v>
      </x:c>
      <x:c r="B18" s="15" t="str">
        <x:v>Spot the Brain Cell</x:v>
      </x:c>
      <x:c r="C18" s="15" t="str">
        <x:v>University of Calgary Department of Clinical Neurosciences</x:v>
      </x:c>
      <x:c r="D18" s="15" t="str">
        <x:v>Resident-created presentations on high-yield topics for medical students and off-service rotators, including stroke, seizure, headache, dementia, MS, vertigo, and movement disorders.</x:v>
      </x:c>
      <x:c r="E18" s="15" t="str">
        <x:v>General Neurology Essentials</x:v>
      </x:c>
      <x:c r="F18" s="15" t="str">
        <x:v>General Neurology | Vascular Neurology &amp; Stroke | Epilepsy &amp; Clinical Neurophysiology | Headache Medicine | Movement Disorders | Multiple Sclerosis &amp; Neuroimmunology | Behavioral Neurology &amp; Neuropsychiatry | Neuro-otology | Neuromuscular Medicine | Neurohospitalist &amp; Acute Neurology</x:v>
      </x:c>
      <x:c r="G18" s="15" t="str">
        <x:v>adult</x:v>
      </x:c>
      <x:c r="H18" s="15" t="str">
        <x:v>video</x:v>
      </x:c>
      <x:c r="I18" s="15"/>
      <x:c r="J18" s="15" t="str">
        <x:v>free</x:v>
      </x:c>
      <x:c r="K18" s="15" t="str">
        <x:v>Topic series</x:v>
      </x:c>
      <x:c r="L18" s="19" t="n">
        <x:v>2026</x:v>
      </x:c>
      <x:c r="M18" s="19" t="n">
        <x:v>92</x:v>
      </x:c>
      <x:c r="N18" s="15" t="str">
        <x:v>https://cumming.ucalgary.ca/departments/dcns/education/residency/neurology/spotthebraincell</x:v>
      </x:c>
      <x:c r="O18" s="15" t="str">
        <x:v>rotation | high yield | first seizure | acute stroke | vertigo | MS basics</x:v>
      </x:c>
      <x:c r="P18" s="16" t="str">
        <x:f>IF(A18="","",IF(COUNTIF($A$2:$A$500,A18)&gt;1,"Duplicate ID",IF(OR(B18="",C18="",D18="",E18="",F18="",G18="",H18="",J18="",K18="",L18="",M18="",N18="",O18=""),"Missing required field","OK")))</x:f>
        <x:v>OK</x:v>
      </x:c>
    </x:row>
    <x:row r="19" ht="57" customHeight="1">
      <x:c r="A19" s="19" t="n">
        <x:v>18</x:v>
      </x:c>
      <x:c r="B19" s="15" t="str">
        <x:v>Stanford Medicine 25: Neurology Examinations</x:v>
      </x:c>
      <x:c r="C19" s="15" t="str">
        <x:v>Stanford Medicine</x:v>
      </x:c>
      <x:c r="D19" s="15" t="str">
        <x:v>Step-by-step guides and video demonstrations for bedside examination, including reflexes, cerebellar testing, gait, tremor, and Parkinson disease.</x:v>
      </x:c>
      <x:c r="E19" s="15" t="str">
        <x:v>Neurology Readiness</x:v>
      </x:c>
      <x:c r="F19" s="15" t="str">
        <x:v>General Neurology | Movement Disorders | Neuromuscular Medicine | Pediatric Neurology</x:v>
      </x:c>
      <x:c r="G19" s="15" t="str">
        <x:v>both</x:v>
      </x:c>
      <x:c r="H19" s="15" t="str">
        <x:v>video</x:v>
      </x:c>
      <x:c r="I19" s="15"/>
      <x:c r="J19" s="15" t="str">
        <x:v>free</x:v>
      </x:c>
      <x:c r="K19" s="15" t="str">
        <x:v>Topic series</x:v>
      </x:c>
      <x:c r="L19" s="19" t="n">
        <x:v>2026</x:v>
      </x:c>
      <x:c r="M19" s="19" t="n">
        <x:v>90</x:v>
      </x:c>
      <x:c r="N19" s="15" t="str">
        <x:v>https://med.stanford.edu/stanfordmedicine25/exam-guides-.html</x:v>
      </x:c>
      <x:c r="O19" s="15" t="str">
        <x:v>neurologic exam | bedside | reflexes | gait | cerebellar | Parkinson examination</x:v>
      </x:c>
      <x:c r="P19" s="16" t="str">
        <x:f>IF(A19="","",IF(COUNTIF($A$2:$A$500,A19)&gt;1,"Duplicate ID",IF(OR(B19="",C19="",D19="",E19="",F19="",G19="",H19="",J19="",K19="",L19="",M19="",N19="",O19=""),"Missing required field","OK")))</x:f>
        <x:v>OK</x:v>
      </x:c>
    </x:row>
    <x:row r="20" ht="57" customHeight="1">
      <x:c r="A20" s="19" t="n">
        <x:v>19</x:v>
      </x:c>
      <x:c r="B20" s="15" t="str">
        <x:v>ILAE Education and Epileptology Curriculum</x:v>
      </x:c>
      <x:c r="C20" s="15" t="str">
        <x:v>International League Against Epilepsy</x:v>
      </x:c>
      <x:c r="D20" s="15" t="str">
        <x:v>A competency-based learning pathway with entry, proficiency, and advanced content in seizure diagnosis, EEG, neuroimaging, treatment, and emergencies.</x:v>
      </x:c>
      <x:c r="E20" s="15" t="str">
        <x:v>Advanced &amp; Subspecialty Practice</x:v>
      </x:c>
      <x:c r="F20" s="15" t="str">
        <x:v>Epilepsy &amp; Clinical Neurophysiology | Pediatric Neurology | Neurogenetics | Sleep Neurology</x:v>
      </x:c>
      <x:c r="G20" s="15" t="str">
        <x:v>both</x:v>
      </x:c>
      <x:c r="H20" s="15" t="str">
        <x:v>module</x:v>
      </x:c>
      <x:c r="I20" s="15"/>
      <x:c r="J20" s="15" t="str">
        <x:v>mixed</x:v>
      </x:c>
      <x:c r="K20" s="15" t="str">
        <x:v>Curriculum</x:v>
      </x:c>
      <x:c r="L20" s="19" t="n">
        <x:v>2026</x:v>
      </x:c>
      <x:c r="M20" s="19" t="n">
        <x:v>88</x:v>
      </x:c>
      <x:c r="N20" s="15" t="str">
        <x:v>https://www.ilae.org/education</x:v>
      </x:c>
      <x:c r="O20" s="15" t="str">
        <x:v>epileptology | seizure | EEG | MRI | ILAE curriculum | competency</x:v>
      </x:c>
      <x:c r="P20" s="16" t="str">
        <x:f>IF(A20="","",IF(COUNTIF($A$2:$A$500,A20)&gt;1,"Duplicate ID",IF(OR(B20="",C20="",D20="",E20="",F20="",G20="",H20="",J20="",K20="",L20="",M20="",N20="",O20=""),"Missing required field","OK")))</x:f>
        <x:v>OK</x:v>
      </x:c>
    </x:row>
    <x:row r="21" ht="57" customHeight="1">
      <x:c r="A21" s="19" t="n">
        <x:v>20</x:v>
      </x:c>
      <x:c r="B21" s="15" t="str">
        <x:v>Neuro-Ophthalmology Virtual Education Library (NOVEL)</x:v>
      </x:c>
      <x:c r="C21" s="15" t="str">
        <x:v>University of Utah and North American Neuro-Ophthalmology Society</x:v>
      </x:c>
      <x:c r="D21" s="15" t="str">
        <x:v>A large open-access repository of neuro-ophthalmology lectures, examinations, cases, images, and tiered learning materials.</x:v>
      </x:c>
      <x:c r="E21" s="15" t="str">
        <x:v>Core Neurology Practice</x:v>
      </x:c>
      <x:c r="F21" s="15" t="str">
        <x:v>Neuro-ophthalmology | Neuro-oncology | Multiple Sclerosis &amp; Neuroimmunology | Vascular Neurology &amp; Stroke</x:v>
      </x:c>
      <x:c r="G21" s="15" t="str">
        <x:v>both</x:v>
      </x:c>
      <x:c r="H21" s="15" t="str">
        <x:v>toolkit</x:v>
      </x:c>
      <x:c r="I21" s="15"/>
      <x:c r="J21" s="15" t="str">
        <x:v>free</x:v>
      </x:c>
      <x:c r="K21" s="15" t="str">
        <x:v>Collection</x:v>
      </x:c>
      <x:c r="L21" s="19" t="n">
        <x:v>2024</x:v>
      </x:c>
      <x:c r="M21" s="19" t="n">
        <x:v>84</x:v>
      </x:c>
      <x:c r="N21" s="15" t="str">
        <x:v>https://novel.utah.edu/</x:v>
      </x:c>
      <x:c r="O21" s="15" t="str">
        <x:v>neuro-ophthalmology | eye movements | pupils | visual fields | cases</x:v>
      </x:c>
      <x:c r="P21" s="16" t="str">
        <x:f>IF(A21="","",IF(COUNTIF($A$2:$A$500,A21)&gt;1,"Duplicate ID",IF(OR(B21="",C21="",D21="",E21="",F21="",G21="",H21="",J21="",K21="",L21="",M21="",N21="",O21=""),"Missing required field","OK")))</x:f>
        <x:v>OK</x:v>
      </x:c>
    </x:row>
    <x:row r="22" ht="57" customHeight="1">
      <x:c r="A22" s="19" t="n">
        <x:v>21</x:v>
      </x:c>
      <x:c r="B22" s="15" t="str">
        <x:v>International Classification of Headache Disorders, 3rd Edition</x:v>
      </x:c>
      <x:c r="C22" s="15" t="str">
        <x:v>International Headache Society</x:v>
      </x:c>
      <x:c r="D22" s="15" t="str">
        <x:v>The official ICHD-3 diagnostic classification and criteria for migraine, tension-type headache, trigeminal autonomic cephalalgias, and secondary headaches.</x:v>
      </x:c>
      <x:c r="E22" s="15" t="str">
        <x:v>General Neurology Essentials</x:v>
      </x:c>
      <x:c r="F22" s="15" t="str">
        <x:v>Headache Medicine | Pediatric Neurology | Neurohospitalist &amp; Acute Neurology</x:v>
      </x:c>
      <x:c r="G22" s="15" t="str">
        <x:v>both</x:v>
      </x:c>
      <x:c r="H22" s="15" t="str">
        <x:v>reference</x:v>
      </x:c>
      <x:c r="I22" s="15"/>
      <x:c r="J22" s="15" t="str">
        <x:v>free</x:v>
      </x:c>
      <x:c r="K22" s="15" t="str">
        <x:v>Reference</x:v>
      </x:c>
      <x:c r="L22" s="19" t="n">
        <x:v>2018</x:v>
      </x:c>
      <x:c r="M22" s="19" t="n">
        <x:v>85</x:v>
      </x:c>
      <x:c r="N22" s="15" t="str">
        <x:v>https://ichd-3.org/</x:v>
      </x:c>
      <x:c r="O22" s="15" t="str">
        <x:v>ICHD-3 | migraine | headache criteria | secondary headache | classification</x:v>
      </x:c>
      <x:c r="P22" s="16" t="str">
        <x:f>IF(A22="","",IF(COUNTIF($A$2:$A$500,A22)&gt;1,"Duplicate ID",IF(OR(B22="",C22="",D22="",E22="",F22="",G22="",H22="",J22="",K22="",L22="",M22="",N22="",O22=""),"Missing required field","OK")))</x:f>
        <x:v>OK</x:v>
      </x:c>
    </x:row>
    <x:row r="23" ht="57" customHeight="1">
      <x:c r="A23" s="19" t="n">
        <x:v>22</x:v>
      </x:c>
      <x:c r="B23" s="15" t="str">
        <x:v>Movement Disorders Fundamentals E-Learning Series</x:v>
      </x:c>
      <x:c r="C23" s="15" t="str">
        <x:v>International Parkinson and Movement Disorder Society</x:v>
      </x:c>
      <x:c r="D23" s="15" t="str">
        <x:v>Expert video presentations covering the classification, evaluation, and management of common movement disorders from phenomenology through treatment.</x:v>
      </x:c>
      <x:c r="E23" s="15" t="str">
        <x:v>General Neurology Essentials</x:v>
      </x:c>
      <x:c r="F23" s="15" t="str">
        <x:v>Movement Disorders | Pediatric Neurology | Neurogenetics | Autonomic Disorders | Palliative Neurology</x:v>
      </x:c>
      <x:c r="G23" s="15" t="str">
        <x:v>both</x:v>
      </x:c>
      <x:c r="H23" s="15" t="str">
        <x:v>module</x:v>
      </x:c>
      <x:c r="I23" s="15"/>
      <x:c r="J23" s="15" t="str">
        <x:v>login</x:v>
      </x:c>
      <x:c r="K23" s="15" t="str">
        <x:v>Multi-module series</x:v>
      </x:c>
      <x:c r="L23" s="19" t="n">
        <x:v>2026</x:v>
      </x:c>
      <x:c r="M23" s="19" t="n">
        <x:v>88</x:v>
      </x:c>
      <x:c r="N23" s="15" t="str">
        <x:v>https://www.movementdisorders.org/MDS/WFN-MDS.htm</x:v>
      </x:c>
      <x:c r="O23" s="15" t="str">
        <x:v>movement phenomenology | Parkinson disease | tremor | dystonia | chorea | ataxia</x:v>
      </x:c>
      <x:c r="P23" s="16" t="str">
        <x:f>IF(A23="","",IF(COUNTIF($A$2:$A$500,A23)&gt;1,"Duplicate ID",IF(OR(B23="",C23="",D23="",E23="",F23="",G23="",H23="",J23="",K23="",L23="",M23="",N23="",O23=""),"Missing required field","OK")))</x:f>
        <x:v>OK</x:v>
      </x:c>
    </x:row>
    <x:row r="24" ht="57" customHeight="1">
      <x:c r="A24" s="19" t="n">
        <x:v>23</x:v>
      </x:c>
      <x:c r="B24" s="15" t="str">
        <x:v>Emergency Neurological Life Support® (ENLS)</x:v>
      </x:c>
      <x:c r="C24" s="15" t="str">
        <x:v>Neurocritical Care Society</x:v>
      </x:c>
      <x:c r="D24" s="15" t="str">
        <x:v>A structured course for the critical first hours of neurologic emergencies, organized around practical protocols and high-stakes decision making.</x:v>
      </x:c>
      <x:c r="E24" s="15" t="str">
        <x:v>Neurology Readiness</x:v>
      </x:c>
      <x:c r="F24" s="15" t="str">
        <x:v>Neurocritical Care | Neurohospitalist &amp; Acute Neurology | Vascular Neurology &amp; Stroke | Epilepsy &amp; Clinical Neurophysiology</x:v>
      </x:c>
      <x:c r="G24" s="15" t="str">
        <x:v>both</x:v>
      </x:c>
      <x:c r="H24" s="15" t="str">
        <x:v>module</x:v>
      </x:c>
      <x:c r="I24" s="15"/>
      <x:c r="J24" s="15" t="str">
        <x:v>paid</x:v>
      </x:c>
      <x:c r="K24" s="15" t="str">
        <x:v>Course</x:v>
      </x:c>
      <x:c r="L24" s="19" t="n">
        <x:v>2026</x:v>
      </x:c>
      <x:c r="M24" s="19" t="n">
        <x:v>79</x:v>
      </x:c>
      <x:c r="N24" s="15" t="str">
        <x:v>https://www.neurocriticalcare.org/NCS-Learning-Center/ENLS/home</x:v>
      </x:c>
      <x:c r="O24" s="15" t="str">
        <x:v>neurologic emergency | neurocritical care | protocol | acute neurology | certification</x:v>
      </x:c>
      <x:c r="P24" s="16" t="str">
        <x:f>IF(A24="","",IF(COUNTIF($A$2:$A$500,A24)&gt;1,"Duplicate ID",IF(OR(B24="",C24="",D24="",E24="",F24="",G24="",H24="",J24="",K24="",L24="",M24="",N24="",O24=""),"Missing required field","OK")))</x:f>
        <x:v>OK</x:v>
      </x:c>
    </x:row>
    <x:row r="25" ht="57" customHeight="1">
      <x:c r="A25" s="19" t="n">
        <x:v>24</x:v>
      </x:c>
      <x:c r="B25" s="15" t="str">
        <x:v>UBC Neurology Learner Resources</x:v>
      </x:c>
      <x:c r="C25" s="15" t="str">
        <x:v>University of British Columbia Neurology</x:v>
      </x:c>
      <x:c r="D25" s="15" t="str">
        <x:v>A practical hub for residents and medical students with rotation resources, a handbook, lectures, stroke tools, neuroanatomy, examination videos, and specialty links.</x:v>
      </x:c>
      <x:c r="E25" s="15" t="str">
        <x:v>General Neurology Essentials</x:v>
      </x:c>
      <x:c r="F25" s="15" t="str">
        <x:v>General Neurology | Vascular Neurology &amp; Stroke | Epilepsy &amp; Clinical Neurophysiology | Movement Disorders | Neuro-ophthalmology | Neuro-otology | Neuromuscular Medicine</x:v>
      </x:c>
      <x:c r="G25" s="15" t="str">
        <x:v>adult</x:v>
      </x:c>
      <x:c r="H25" s="15" t="str">
        <x:v>toolkit</x:v>
      </x:c>
      <x:c r="I25" s="15"/>
      <x:c r="J25" s="15" t="str">
        <x:v>mixed</x:v>
      </x:c>
      <x:c r="K25" s="15" t="str">
        <x:v>Collection</x:v>
      </x:c>
      <x:c r="L25" s="19" t="n">
        <x:v>2026</x:v>
      </x:c>
      <x:c r="M25" s="19" t="n">
        <x:v>81</x:v>
      </x:c>
      <x:c r="N25" s="15" t="str">
        <x:v>https://www.ubcneuro.com/resources</x:v>
      </x:c>
      <x:c r="O25" s="15" t="str">
        <x:v>rotation | handbook | ward resources | NIHSS | neuroanatomy | examination</x:v>
      </x:c>
      <x:c r="P25" s="16" t="str">
        <x:f>IF(A25="","",IF(COUNTIF($A$2:$A$500,A25)&gt;1,"Duplicate ID",IF(OR(B25="",C25="",D25="",E25="",F25="",G25="",H25="",J25="",K25="",L25="",M25="",N25="",O25=""),"Missing required field","OK")))</x:f>
        <x:v>OK</x:v>
      </x:c>
    </x:row>
    <x:row r="26" ht="57" customHeight="1">
      <x:c r="A26" s="19" t="n">
        <x:v>25</x:v>
      </x:c>
      <x:c r="B26" s="15" t="str">
        <x:v>Guided Worksheets for Core Neurology Teaching</x:v>
      </x:c>
      <x:c r="C26" s="15" t="str">
        <x:v>Clare McGarvey Lambert, MD and Jeffrey Dewey, MD</x:v>
      </x:c>
      <x:c r="D26" s="15" t="str">
        <x:v>Open-access guided worksheets for ischemic stroke basics, intracranial hemorrhage, reading brain MRI, and seizures, developed for efficient bedside teaching.</x:v>
      </x:c>
      <x:c r="E26" s="15" t="str">
        <x:v>General Neurology Essentials</x:v>
      </x:c>
      <x:c r="F26" s="15" t="str">
        <x:v>Digital Education | Vascular Neurology &amp; Stroke | Epilepsy &amp; Clinical Neurophysiology | Neurohospitalist &amp; Acute Neurology | Pediatric Neurology</x:v>
      </x:c>
      <x:c r="G26" s="15" t="str">
        <x:v>both</x:v>
      </x:c>
      <x:c r="H26" s="15" t="str">
        <x:v>article</x:v>
      </x:c>
      <x:c r="I26" s="15"/>
      <x:c r="J26" s="15" t="str">
        <x:v>free</x:v>
      </x:c>
      <x:c r="K26" s="15" t="str">
        <x:v>4 worksheets</x:v>
      </x:c>
      <x:c r="L26" s="19" t="n">
        <x:v>2026</x:v>
      </x:c>
      <x:c r="M26" s="19" t="n">
        <x:v>86</x:v>
      </x:c>
      <x:c r="N26" s="15" t="str">
        <x:v>https://www.neurology.org/doi/10.1212/NE9.0000000000200311</x:v>
      </x:c>
      <x:c r="O26" s="15" t="str">
        <x:v>worksheet | bedside teaching | MRI | stroke | intracranial hemorrhage | seizure</x:v>
      </x:c>
      <x:c r="P26" s="16" t="str">
        <x:f>IF(A26="","",IF(COUNTIF($A$2:$A$500,A26)&gt;1,"Duplicate ID",IF(OR(B26="",C26="",D26="",E26="",F26="",G26="",H26="",J26="",K26="",L26="",M26="",N26="",O26=""),"Missing required field","OK")))</x:f>
        <x:v>OK</x:v>
      </x:c>
    </x:row>
    <x:row r="27" ht="57" customHeight="1">
      <x:c r="A27" s="19" t="n">
        <x:v>26</x:v>
      </x:c>
      <x:c r="B27" s="15" t="str">
        <x:v>Project Neurology Workshop Series</x:v>
      </x:c>
      <x:c r="C27" s="15" t="str">
        <x:v>Medics.Academy and Healthcare Leadership Academy</x:v>
      </x:c>
      <x:c r="D27" s="15" t="str">
        <x:v>A free, open-access workshop series using practical, case-based sessions for medical students, neurology trainees, and early-career clinicians.</x:v>
      </x:c>
      <x:c r="E27" s="15" t="str">
        <x:v>General Neurology Essentials</x:v>
      </x:c>
      <x:c r="F27" s="15" t="str">
        <x:v>General Neurology | Neurohospitalist &amp; Acute Neurology | Vascular Neurology &amp; Stroke | Epilepsy &amp; Clinical Neurophysiology | Headache Medicine</x:v>
      </x:c>
      <x:c r="G27" s="15" t="str">
        <x:v>adult</x:v>
      </x:c>
      <x:c r="H27" s="15" t="str">
        <x:v>module</x:v>
      </x:c>
      <x:c r="I27" s="15"/>
      <x:c r="J27" s="15" t="str">
        <x:v>free</x:v>
      </x:c>
      <x:c r="K27" s="15" t="str">
        <x:v>Workshop series</x:v>
      </x:c>
      <x:c r="L27" s="19" t="n">
        <x:v>2026</x:v>
      </x:c>
      <x:c r="M27" s="19" t="n">
        <x:v>76</x:v>
      </x:c>
      <x:c r="N27" s="15" t="str">
        <x:v>https://www.medics.academy/courses/project-neurology-workshop-series</x:v>
      </x:c>
      <x:c r="O27" s="15" t="str">
        <x:v>case based | workshop | medical students | trainees | clinical reasoning</x:v>
      </x:c>
      <x:c r="P27" s="16" t="str">
        <x:f>IF(A27="","",IF(COUNTIF($A$2:$A$500,A27)&gt;1,"Duplicate ID",IF(OR(B27="",C27="",D27="",E27="",F27="",G27="",H27="",J27="",K27="",L27="",M27="",N27="",O27=""),"Missing required field","OK")))</x:f>
        <x:v>OK</x:v>
      </x:c>
    </x:row>
    <x:row r="28" ht="57" customHeight="1">
      <x:c r="A28" s="19" t="n">
        <x:v>27</x:v>
      </x:c>
      <x:c r="B28" s="15" t="str">
        <x:v>Understanding Multiple Sclerosis</x:v>
      </x:c>
      <x:c r="C28" s="15" t="str">
        <x:v>Menzies Institute, MS Plus, and MS Australia</x:v>
      </x:c>
      <x:c r="D28" s="15" t="str">
        <x:v>A free online course introducing multiple sclerosis and its management for learners, health professionals, and people seeking a structured overview.</x:v>
      </x:c>
      <x:c r="E28" s="15" t="str">
        <x:v>General Neurology Essentials</x:v>
      </x:c>
      <x:c r="F28" s="15" t="str">
        <x:v>Multiple Sclerosis &amp; Neuroimmunology | Neuro-ophthalmology | Pediatric Neurology</x:v>
      </x:c>
      <x:c r="G28" s="15" t="str">
        <x:v>both</x:v>
      </x:c>
      <x:c r="H28" s="15" t="str">
        <x:v>module</x:v>
      </x:c>
      <x:c r="I28" s="15"/>
      <x:c r="J28" s="15" t="str">
        <x:v>free</x:v>
      </x:c>
      <x:c r="K28" s="15" t="str">
        <x:v>Online course</x:v>
      </x:c>
      <x:c r="L28" s="19" t="n">
        <x:v>2025</x:v>
      </x:c>
      <x:c r="M28" s="19" t="n">
        <x:v>72</x:v>
      </x:c>
      <x:c r="N28" s="15" t="str">
        <x:v>https://www.msif.org/news/2025/08/14/a-free-course-to-learn-all-about-ms-and-how-to-manage-it/</x:v>
      </x:c>
      <x:c r="O28" s="15" t="str">
        <x:v>multiple sclerosis | MS | management | neuroimmunology | free course</x:v>
      </x:c>
      <x:c r="P28" s="16" t="str">
        <x:f>IF(A28="","",IF(COUNTIF($A$2:$A$500,A28)&gt;1,"Duplicate ID",IF(OR(B28="",C28="",D28="",E28="",F28="",G28="",H28="",J28="",K28="",L28="",M28="",N28="",O28=""),"Missing required field","OK")))</x:f>
        <x:v>OK</x:v>
      </x:c>
    </x:row>
    <x:row r="29" ht="57" customHeight="1">
      <x:c r="A29" s="19" t="n">
        <x:v>28</x:v>
      </x:c>
      <x:c r="B29" s="15" t="str">
        <x:v>Neurology Nuts and Bolts</x:v>
      </x:c>
      <x:c r="C29" s="15" t="str">
        <x:v>Yale School of Medicine</x:v>
      </x:c>
      <x:c r="D29" s="15" t="str">
        <x:v>A podcast about constructing a career in neurology, with conversations on clerkship success, training, mentorship, and professional development.</x:v>
      </x:c>
      <x:c r="E29" s="15" t="str">
        <x:v>Neurology Readiness</x:v>
      </x:c>
      <x:c r="F29" s="15" t="str">
        <x:v>Digital Education | General Neurology</x:v>
      </x:c>
      <x:c r="G29" s="15" t="str">
        <x:v>both</x:v>
      </x:c>
      <x:c r="H29" s="15" t="str">
        <x:v>podcast</x:v>
      </x:c>
      <x:c r="I29" s="15"/>
      <x:c r="J29" s="15" t="str">
        <x:v>free</x:v>
      </x:c>
      <x:c r="K29" s="15" t="str">
        <x:v>Episode series</x:v>
      </x:c>
      <x:c r="L29" s="19" t="n">
        <x:v>2026</x:v>
      </x:c>
      <x:c r="M29" s="19" t="n">
        <x:v>68</x:v>
      </x:c>
      <x:c r="N29" s="15" t="str">
        <x:v>https://neurologynutsandbolts.buzzsprout.com/</x:v>
      </x:c>
      <x:c r="O29" s="15" t="str">
        <x:v>career | clerkship | mentorship | residency | podcast</x:v>
      </x:c>
      <x:c r="P29" s="16" t="str">
        <x:f>IF(A29="","",IF(COUNTIF($A$2:$A$500,A29)&gt;1,"Duplicate ID",IF(OR(B29="",C29="",D29="",E29="",F29="",G29="",H29="",J29="",K29="",L29="",M29="",N29="",O29=""),"Missing required field","OK")))</x:f>
        <x:v>OK</x:v>
      </x:c>
    </x:row>
    <x:row r="30" ht="57" customHeight="1">
      <x:c r="A30" s="20" t="n">
        <x:v>29</x:v>
      </x:c>
      <x:c r="B30" s="17" t="str">
        <x:v>AccessNeurology</x:v>
      </x:c>
      <x:c r="C30" s="17" t="str">
        <x:v>McGraw Hill Medical</x:v>
      </x:c>
      <x:c r="D30" s="17" t="str">
        <x:v>A comprehensive subscription collection of neurology textbooks, cases, videos, review questions, and an interactive neuroanatomy atlas.</x:v>
      </x:c>
      <x:c r="E30" s="17" t="str">
        <x:v>Core Neurology Practice</x:v>
      </x:c>
      <x:c r="F30" s="17" t="str">
        <x:v>General Neurology | Behavioral Neurology &amp; Neuropsychiatry | Vascular Neurology &amp; Stroke | Epilepsy &amp; Clinical Neurophysiology | Movement Disorders | Headache Medicine | Multiple Sclerosis &amp; Neuroimmunology | Neuromuscular Medicine | Neurocritical Care | Neuro-oncology | Neuro-ophthalmology | Sleep Neurology | Pediatric Neurology | Neurogenetics | Autonomic Disorders | Palliative Neurology</x:v>
      </x:c>
      <x:c r="G30" s="17" t="str">
        <x:v>both</x:v>
      </x:c>
      <x:c r="H30" s="17" t="str">
        <x:v>reference</x:v>
      </x:c>
      <x:c r="I30" s="17"/>
      <x:c r="J30" s="17" t="str">
        <x:v>paid</x:v>
      </x:c>
      <x:c r="K30" s="17" t="str">
        <x:v>Collection</x:v>
      </x:c>
      <x:c r="L30" s="20" t="n">
        <x:v>2026</x:v>
      </x:c>
      <x:c r="M30" s="20" t="n">
        <x:v>70</x:v>
      </x:c>
      <x:c r="N30" s="17" t="str">
        <x:v>https://neurology.mhmedical.com/Index.aspx</x:v>
      </x:c>
      <x:c r="O30" s="17" t="str">
        <x:v>textbook | case | video | self assessment | neuroanatomy atlas | board review</x:v>
      </x:c>
      <x:c r="P30" s="18" t="str">
        <x:f>IF(A30="","",IF(COUNTIF($A$2:$A$500,A30)&gt;1,"Duplicate ID",IF(OR(B30="",C30="",D30="",E30="",F30="",G30="",H30="",J30="",K30="",L30="",M30="",N30="",O30=""),"Missing required field","OK")))</x:f>
        <x:v>OK</x:v>
      </x:c>
    </x:row>
    <x:row r="31">
      <x:c r="A31" s="21"/>
      <x:c r="L31" s="21"/>
      <x:c r="M31" s="21"/>
    </x:row>
    <x:row r="32">
      <x:c r="A32" s="21"/>
      <x:c r="L32" s="21"/>
      <x:c r="M32" s="21"/>
    </x:row>
    <x:row r="33">
      <x:c r="A33" s="21"/>
      <x:c r="L33" s="21"/>
      <x:c r="M33" s="21"/>
    </x:row>
    <x:row r="34">
      <x:c r="A34" s="21"/>
      <x:c r="L34" s="21"/>
      <x:c r="M34" s="21"/>
    </x:row>
    <x:row r="35">
      <x:c r="A35" s="21"/>
      <x:c r="L35" s="21"/>
      <x:c r="M35" s="21"/>
    </x:row>
    <x:row r="36">
      <x:c r="A36" s="21"/>
      <x:c r="L36" s="21"/>
      <x:c r="M36" s="21"/>
    </x:row>
    <x:row r="37">
      <x:c r="A37" s="21"/>
      <x:c r="L37" s="21"/>
      <x:c r="M37" s="21"/>
    </x:row>
    <x:row r="38">
      <x:c r="A38" s="21"/>
      <x:c r="L38" s="21"/>
      <x:c r="M38" s="21"/>
    </x:row>
    <x:row r="39">
      <x:c r="A39" s="21"/>
      <x:c r="L39" s="21"/>
      <x:c r="M39" s="21"/>
    </x:row>
    <x:row r="40">
      <x:c r="A40" s="21"/>
      <x:c r="L40" s="21"/>
      <x:c r="M40" s="21"/>
    </x:row>
    <x:row r="41">
      <x:c r="A41" s="21"/>
      <x:c r="L41" s="21"/>
      <x:c r="M41" s="21"/>
    </x:row>
    <x:row r="42">
      <x:c r="A42" s="21"/>
      <x:c r="L42" s="21"/>
      <x:c r="M42" s="21"/>
    </x:row>
    <x:row r="43">
      <x:c r="A43" s="21"/>
      <x:c r="L43" s="21"/>
      <x:c r="M43" s="21"/>
    </x:row>
    <x:row r="44">
      <x:c r="A44" s="21"/>
      <x:c r="L44" s="21"/>
      <x:c r="M44" s="21"/>
    </x:row>
    <x:row r="45">
      <x:c r="A45" s="21"/>
      <x:c r="L45" s="21"/>
      <x:c r="M45" s="21"/>
    </x:row>
    <x:row r="46">
      <x:c r="A46" s="21"/>
      <x:c r="L46" s="21"/>
      <x:c r="M46" s="21"/>
    </x:row>
    <x:row r="47">
      <x:c r="A47" s="21"/>
      <x:c r="L47" s="21"/>
      <x:c r="M47" s="21"/>
    </x:row>
    <x:row r="48">
      <x:c r="A48" s="21"/>
      <x:c r="L48" s="21"/>
      <x:c r="M48" s="21"/>
    </x:row>
    <x:row r="49">
      <x:c r="A49" s="21"/>
      <x:c r="L49" s="21"/>
      <x:c r="M49" s="21"/>
    </x:row>
    <x:row r="50">
      <x:c r="A50" s="21"/>
      <x:c r="L50" s="21"/>
      <x:c r="M50" s="21"/>
    </x:row>
    <x:row r="51">
      <x:c r="A51" s="21"/>
      <x:c r="L51" s="21"/>
      <x:c r="M51" s="21"/>
    </x:row>
    <x:row r="52">
      <x:c r="A52" s="21"/>
      <x:c r="L52" s="21"/>
      <x:c r="M52" s="21"/>
    </x:row>
    <x:row r="53">
      <x:c r="A53" s="21"/>
      <x:c r="L53" s="21"/>
      <x:c r="M53" s="21"/>
    </x:row>
    <x:row r="54">
      <x:c r="A54" s="21"/>
      <x:c r="L54" s="21"/>
      <x:c r="M54" s="21"/>
    </x:row>
    <x:row r="55">
      <x:c r="A55" s="21"/>
      <x:c r="L55" s="21"/>
      <x:c r="M55" s="21"/>
    </x:row>
    <x:row r="56">
      <x:c r="A56" s="21"/>
      <x:c r="L56" s="21"/>
      <x:c r="M56" s="21"/>
    </x:row>
    <x:row r="57">
      <x:c r="A57" s="21"/>
      <x:c r="L57" s="21"/>
      <x:c r="M57" s="21"/>
    </x:row>
    <x:row r="58">
      <x:c r="A58" s="21"/>
      <x:c r="L58" s="21"/>
      <x:c r="M58" s="21"/>
    </x:row>
    <x:row r="59">
      <x:c r="A59" s="21"/>
      <x:c r="L59" s="21"/>
      <x:c r="M59" s="21"/>
    </x:row>
    <x:row r="60">
      <x:c r="A60" s="21"/>
      <x:c r="L60" s="21"/>
      <x:c r="M60" s="21"/>
    </x:row>
    <x:row r="61">
      <x:c r="A61" s="21"/>
      <x:c r="L61" s="21"/>
      <x:c r="M61" s="21"/>
    </x:row>
    <x:row r="62">
      <x:c r="A62" s="21"/>
      <x:c r="L62" s="21"/>
      <x:c r="M62" s="21"/>
    </x:row>
    <x:row r="63">
      <x:c r="A63" s="21"/>
      <x:c r="L63" s="21"/>
      <x:c r="M63" s="21"/>
    </x:row>
    <x:row r="64">
      <x:c r="A64" s="21"/>
      <x:c r="L64" s="21"/>
      <x:c r="M64" s="21"/>
    </x:row>
    <x:row r="65">
      <x:c r="A65" s="21"/>
      <x:c r="L65" s="21"/>
      <x:c r="M65" s="21"/>
    </x:row>
    <x:row r="66">
      <x:c r="A66" s="21"/>
      <x:c r="L66" s="21"/>
      <x:c r="M66" s="21"/>
    </x:row>
    <x:row r="67">
      <x:c r="A67" s="21"/>
      <x:c r="L67" s="21"/>
      <x:c r="M67" s="21"/>
    </x:row>
    <x:row r="68">
      <x:c r="A68" s="21"/>
      <x:c r="L68" s="21"/>
      <x:c r="M68" s="21"/>
    </x:row>
    <x:row r="69">
      <x:c r="A69" s="21"/>
      <x:c r="L69" s="21"/>
      <x:c r="M69" s="21"/>
    </x:row>
    <x:row r="70">
      <x:c r="A70" s="21"/>
      <x:c r="L70" s="21"/>
      <x:c r="M70" s="21"/>
    </x:row>
    <x:row r="71">
      <x:c r="A71" s="21"/>
      <x:c r="L71" s="21"/>
      <x:c r="M71" s="21"/>
    </x:row>
    <x:row r="72">
      <x:c r="A72" s="21"/>
      <x:c r="L72" s="21"/>
      <x:c r="M72" s="21"/>
    </x:row>
    <x:row r="73">
      <x:c r="A73" s="21"/>
      <x:c r="L73" s="21"/>
      <x:c r="M73" s="21"/>
    </x:row>
    <x:row r="74">
      <x:c r="A74" s="21"/>
      <x:c r="L74" s="21"/>
      <x:c r="M74" s="21"/>
    </x:row>
    <x:row r="75">
      <x:c r="A75" s="21"/>
      <x:c r="L75" s="21"/>
      <x:c r="M75" s="21"/>
    </x:row>
    <x:row r="76">
      <x:c r="A76" s="21"/>
      <x:c r="L76" s="21"/>
      <x:c r="M76" s="21"/>
    </x:row>
    <x:row r="77">
      <x:c r="A77" s="21"/>
      <x:c r="L77" s="21"/>
      <x:c r="M77" s="21"/>
    </x:row>
    <x:row r="78">
      <x:c r="A78" s="21"/>
      <x:c r="L78" s="21"/>
      <x:c r="M78" s="21"/>
    </x:row>
    <x:row r="79">
      <x:c r="A79" s="21"/>
      <x:c r="L79" s="21"/>
      <x:c r="M79" s="21"/>
    </x:row>
    <x:row r="80">
      <x:c r="A80" s="21"/>
      <x:c r="L80" s="21"/>
      <x:c r="M80" s="21"/>
    </x:row>
    <x:row r="81">
      <x:c r="A81" s="21"/>
      <x:c r="L81" s="21"/>
      <x:c r="M81" s="21"/>
    </x:row>
    <x:row r="82">
      <x:c r="A82" s="21"/>
      <x:c r="L82" s="21"/>
      <x:c r="M82" s="21"/>
    </x:row>
    <x:row r="83">
      <x:c r="A83" s="21"/>
      <x:c r="L83" s="21"/>
      <x:c r="M83" s="21"/>
    </x:row>
    <x:row r="84">
      <x:c r="A84" s="21"/>
      <x:c r="L84" s="21"/>
      <x:c r="M84" s="21"/>
    </x:row>
    <x:row r="85">
      <x:c r="A85" s="21"/>
      <x:c r="L85" s="21"/>
      <x:c r="M85" s="21"/>
    </x:row>
    <x:row r="86">
      <x:c r="A86" s="21"/>
      <x:c r="L86" s="21"/>
      <x:c r="M86" s="21"/>
    </x:row>
    <x:row r="87">
      <x:c r="A87" s="21"/>
      <x:c r="L87" s="21"/>
      <x:c r="M87" s="21"/>
    </x:row>
    <x:row r="88">
      <x:c r="A88" s="21"/>
      <x:c r="L88" s="21"/>
      <x:c r="M88" s="21"/>
    </x:row>
    <x:row r="89">
      <x:c r="A89" s="21"/>
      <x:c r="L89" s="21"/>
      <x:c r="M89" s="21"/>
    </x:row>
    <x:row r="90">
      <x:c r="A90" s="21"/>
      <x:c r="L90" s="21"/>
      <x:c r="M90" s="21"/>
    </x:row>
    <x:row r="91">
      <x:c r="A91" s="21"/>
      <x:c r="L91" s="21"/>
      <x:c r="M91" s="21"/>
    </x:row>
    <x:row r="92">
      <x:c r="A92" s="21"/>
      <x:c r="L92" s="21"/>
      <x:c r="M92" s="21"/>
    </x:row>
    <x:row r="93">
      <x:c r="A93" s="21"/>
      <x:c r="L93" s="21"/>
      <x:c r="M93" s="21"/>
    </x:row>
    <x:row r="94">
      <x:c r="A94" s="21"/>
      <x:c r="L94" s="21"/>
      <x:c r="M94" s="21"/>
    </x:row>
    <x:row r="95">
      <x:c r="A95" s="21"/>
      <x:c r="L95" s="21"/>
      <x:c r="M95" s="21"/>
    </x:row>
    <x:row r="96">
      <x:c r="A96" s="21"/>
      <x:c r="L96" s="21"/>
      <x:c r="M96" s="21"/>
    </x:row>
    <x:row r="97">
      <x:c r="A97" s="21"/>
      <x:c r="L97" s="21"/>
      <x:c r="M97" s="21"/>
    </x:row>
    <x:row r="98">
      <x:c r="A98" s="21"/>
      <x:c r="L98" s="21"/>
      <x:c r="M98" s="21"/>
    </x:row>
    <x:row r="99">
      <x:c r="A99" s="21"/>
      <x:c r="L99" s="21"/>
      <x:c r="M99" s="21"/>
    </x:row>
    <x:row r="100">
      <x:c r="A100" s="21"/>
      <x:c r="L100" s="21"/>
      <x:c r="M100" s="21"/>
    </x:row>
    <x:row r="101">
      <x:c r="A101" s="21"/>
      <x:c r="L101" s="21"/>
      <x:c r="M101" s="21"/>
    </x:row>
    <x:row r="102">
      <x:c r="A102" s="21"/>
      <x:c r="L102" s="21"/>
      <x:c r="M102" s="21"/>
    </x:row>
    <x:row r="103">
      <x:c r="A103" s="21"/>
      <x:c r="L103" s="21"/>
      <x:c r="M103" s="21"/>
    </x:row>
    <x:row r="104">
      <x:c r="A104" s="21"/>
      <x:c r="L104" s="21"/>
      <x:c r="M104" s="21"/>
    </x:row>
    <x:row r="105">
      <x:c r="A105" s="21"/>
      <x:c r="L105" s="21"/>
      <x:c r="M105" s="21"/>
    </x:row>
    <x:row r="106">
      <x:c r="A106" s="21"/>
      <x:c r="L106" s="21"/>
      <x:c r="M106" s="21"/>
    </x:row>
    <x:row r="107">
      <x:c r="A107" s="21"/>
      <x:c r="L107" s="21"/>
      <x:c r="M107" s="21"/>
    </x:row>
    <x:row r="108">
      <x:c r="A108" s="21"/>
      <x:c r="L108" s="21"/>
      <x:c r="M108" s="21"/>
    </x:row>
    <x:row r="109">
      <x:c r="A109" s="21"/>
      <x:c r="L109" s="21"/>
      <x:c r="M109" s="21"/>
    </x:row>
    <x:row r="110">
      <x:c r="A110" s="21"/>
      <x:c r="L110" s="21"/>
      <x:c r="M110" s="21"/>
    </x:row>
    <x:row r="111">
      <x:c r="A111" s="21"/>
      <x:c r="L111" s="21"/>
      <x:c r="M111" s="21"/>
    </x:row>
    <x:row r="112">
      <x:c r="A112" s="21"/>
      <x:c r="L112" s="21"/>
      <x:c r="M112" s="21"/>
    </x:row>
    <x:row r="113">
      <x:c r="A113" s="21"/>
      <x:c r="L113" s="21"/>
      <x:c r="M113" s="21"/>
    </x:row>
    <x:row r="114">
      <x:c r="A114" s="21"/>
      <x:c r="L114" s="21"/>
      <x:c r="M114" s="21"/>
    </x:row>
    <x:row r="115">
      <x:c r="A115" s="21"/>
      <x:c r="L115" s="21"/>
      <x:c r="M115" s="21"/>
    </x:row>
    <x:row r="116">
      <x:c r="A116" s="21"/>
      <x:c r="L116" s="21"/>
      <x:c r="M116" s="21"/>
    </x:row>
    <x:row r="117">
      <x:c r="A117" s="21"/>
      <x:c r="L117" s="21"/>
      <x:c r="M117" s="21"/>
    </x:row>
    <x:row r="118">
      <x:c r="A118" s="21"/>
      <x:c r="L118" s="21"/>
      <x:c r="M118" s="21"/>
    </x:row>
    <x:row r="119">
      <x:c r="A119" s="21"/>
      <x:c r="L119" s="21"/>
      <x:c r="M119" s="21"/>
    </x:row>
    <x:row r="120">
      <x:c r="A120" s="21"/>
      <x:c r="L120" s="21"/>
      <x:c r="M120" s="21"/>
    </x:row>
    <x:row r="121">
      <x:c r="A121" s="21"/>
      <x:c r="L121" s="21"/>
      <x:c r="M121" s="21"/>
    </x:row>
    <x:row r="122">
      <x:c r="A122" s="21"/>
      <x:c r="L122" s="21"/>
      <x:c r="M122" s="21"/>
    </x:row>
    <x:row r="123">
      <x:c r="A123" s="21"/>
      <x:c r="L123" s="21"/>
      <x:c r="M123" s="21"/>
    </x:row>
    <x:row r="124">
      <x:c r="A124" s="21"/>
      <x:c r="L124" s="21"/>
      <x:c r="M124" s="21"/>
    </x:row>
    <x:row r="125">
      <x:c r="A125" s="21"/>
      <x:c r="L125" s="21"/>
      <x:c r="M125" s="21"/>
    </x:row>
    <x:row r="126">
      <x:c r="A126" s="21"/>
      <x:c r="L126" s="21"/>
      <x:c r="M126" s="21"/>
    </x:row>
    <x:row r="127">
      <x:c r="A127" s="21"/>
      <x:c r="L127" s="21"/>
      <x:c r="M127" s="21"/>
    </x:row>
    <x:row r="128">
      <x:c r="A128" s="21"/>
      <x:c r="L128" s="21"/>
      <x:c r="M128" s="21"/>
    </x:row>
    <x:row r="129">
      <x:c r="A129" s="21"/>
      <x:c r="L129" s="21"/>
      <x:c r="M129" s="21"/>
    </x:row>
    <x:row r="130">
      <x:c r="A130" s="21"/>
      <x:c r="L130" s="21"/>
      <x:c r="M130" s="21"/>
    </x:row>
    <x:row r="131">
      <x:c r="A131" s="21"/>
      <x:c r="L131" s="21"/>
      <x:c r="M131" s="21"/>
    </x:row>
    <x:row r="132">
      <x:c r="A132" s="21"/>
      <x:c r="L132" s="21"/>
      <x:c r="M132" s="21"/>
    </x:row>
    <x:row r="133">
      <x:c r="A133" s="21"/>
      <x:c r="L133" s="21"/>
      <x:c r="M133" s="21"/>
    </x:row>
    <x:row r="134">
      <x:c r="A134" s="21"/>
      <x:c r="L134" s="21"/>
      <x:c r="M134" s="21"/>
    </x:row>
    <x:row r="135">
      <x:c r="A135" s="21"/>
      <x:c r="L135" s="21"/>
      <x:c r="M135" s="21"/>
    </x:row>
    <x:row r="136">
      <x:c r="A136" s="21"/>
      <x:c r="L136" s="21"/>
      <x:c r="M136" s="21"/>
    </x:row>
    <x:row r="137">
      <x:c r="A137" s="21"/>
      <x:c r="L137" s="21"/>
      <x:c r="M137" s="21"/>
    </x:row>
    <x:row r="138">
      <x:c r="A138" s="21"/>
      <x:c r="L138" s="21"/>
      <x:c r="M138" s="21"/>
    </x:row>
    <x:row r="139">
      <x:c r="A139" s="21"/>
      <x:c r="L139" s="21"/>
      <x:c r="M139" s="21"/>
    </x:row>
    <x:row r="140">
      <x:c r="A140" s="21"/>
      <x:c r="L140" s="21"/>
      <x:c r="M140" s="21"/>
    </x:row>
    <x:row r="141">
      <x:c r="A141" s="21"/>
      <x:c r="L141" s="21"/>
      <x:c r="M141" s="21"/>
    </x:row>
    <x:row r="142">
      <x:c r="A142" s="21"/>
      <x:c r="L142" s="21"/>
      <x:c r="M142" s="21"/>
    </x:row>
    <x:row r="143">
      <x:c r="A143" s="21"/>
      <x:c r="L143" s="21"/>
      <x:c r="M143" s="21"/>
    </x:row>
    <x:row r="144">
      <x:c r="A144" s="21"/>
      <x:c r="L144" s="21"/>
      <x:c r="M144" s="21"/>
    </x:row>
    <x:row r="145">
      <x:c r="A145" s="21"/>
      <x:c r="L145" s="21"/>
      <x:c r="M145" s="21"/>
    </x:row>
    <x:row r="146">
      <x:c r="A146" s="21"/>
      <x:c r="L146" s="21"/>
      <x:c r="M146" s="21"/>
    </x:row>
    <x:row r="147">
      <x:c r="A147" s="21"/>
      <x:c r="L147" s="21"/>
      <x:c r="M147" s="21"/>
    </x:row>
    <x:row r="148">
      <x:c r="A148" s="21"/>
      <x:c r="L148" s="21"/>
      <x:c r="M148" s="21"/>
    </x:row>
    <x:row r="149">
      <x:c r="A149" s="21"/>
      <x:c r="L149" s="21"/>
      <x:c r="M149" s="21"/>
    </x:row>
    <x:row r="150">
      <x:c r="A150" s="21"/>
      <x:c r="L150" s="21"/>
      <x:c r="M150" s="21"/>
    </x:row>
    <x:row r="151">
      <x:c r="A151" s="21"/>
      <x:c r="L151" s="21"/>
      <x:c r="M151" s="21"/>
    </x:row>
    <x:row r="152">
      <x:c r="A152" s="21"/>
      <x:c r="L152" s="21"/>
      <x:c r="M152" s="21"/>
    </x:row>
    <x:row r="153">
      <x:c r="A153" s="21"/>
      <x:c r="L153" s="21"/>
      <x:c r="M153" s="21"/>
    </x:row>
    <x:row r="154">
      <x:c r="A154" s="21"/>
      <x:c r="L154" s="21"/>
      <x:c r="M154" s="21"/>
    </x:row>
    <x:row r="155">
      <x:c r="A155" s="21"/>
      <x:c r="L155" s="21"/>
      <x:c r="M155" s="21"/>
    </x:row>
    <x:row r="156">
      <x:c r="A156" s="21"/>
      <x:c r="L156" s="21"/>
      <x:c r="M156" s="21"/>
    </x:row>
    <x:row r="157">
      <x:c r="A157" s="21"/>
      <x:c r="L157" s="21"/>
      <x:c r="M157" s="21"/>
    </x:row>
    <x:row r="158">
      <x:c r="A158" s="21"/>
      <x:c r="L158" s="21"/>
      <x:c r="M158" s="21"/>
    </x:row>
    <x:row r="159">
      <x:c r="A159" s="21"/>
      <x:c r="L159" s="21"/>
      <x:c r="M159" s="21"/>
    </x:row>
    <x:row r="160">
      <x:c r="A160" s="21"/>
      <x:c r="L160" s="21"/>
      <x:c r="M160" s="21"/>
    </x:row>
    <x:row r="161">
      <x:c r="A161" s="21"/>
      <x:c r="L161" s="21"/>
      <x:c r="M161" s="21"/>
    </x:row>
    <x:row r="162">
      <x:c r="A162" s="21"/>
      <x:c r="L162" s="21"/>
      <x:c r="M162" s="21"/>
    </x:row>
    <x:row r="163">
      <x:c r="A163" s="21"/>
      <x:c r="L163" s="21"/>
      <x:c r="M163" s="21"/>
    </x:row>
    <x:row r="164">
      <x:c r="A164" s="21"/>
      <x:c r="L164" s="21"/>
      <x:c r="M164" s="21"/>
    </x:row>
    <x:row r="165">
      <x:c r="A165" s="21"/>
      <x:c r="L165" s="21"/>
      <x:c r="M165" s="21"/>
    </x:row>
    <x:row r="166">
      <x:c r="A166" s="21"/>
      <x:c r="L166" s="21"/>
      <x:c r="M166" s="21"/>
    </x:row>
    <x:row r="167">
      <x:c r="A167" s="21"/>
      <x:c r="L167" s="21"/>
      <x:c r="M167" s="21"/>
    </x:row>
    <x:row r="168">
      <x:c r="A168" s="21"/>
      <x:c r="L168" s="21"/>
      <x:c r="M168" s="21"/>
    </x:row>
    <x:row r="169">
      <x:c r="A169" s="21"/>
      <x:c r="L169" s="21"/>
      <x:c r="M169" s="21"/>
    </x:row>
    <x:row r="170">
      <x:c r="A170" s="21"/>
      <x:c r="L170" s="21"/>
      <x:c r="M170" s="21"/>
    </x:row>
    <x:row r="171">
      <x:c r="A171" s="21"/>
      <x:c r="L171" s="21"/>
      <x:c r="M171" s="21"/>
    </x:row>
    <x:row r="172">
      <x:c r="A172" s="21"/>
      <x:c r="L172" s="21"/>
      <x:c r="M172" s="21"/>
    </x:row>
    <x:row r="173">
      <x:c r="A173" s="21"/>
      <x:c r="L173" s="21"/>
      <x:c r="M173" s="21"/>
    </x:row>
    <x:row r="174">
      <x:c r="A174" s="21"/>
      <x:c r="L174" s="21"/>
      <x:c r="M174" s="21"/>
    </x:row>
    <x:row r="175">
      <x:c r="A175" s="21"/>
      <x:c r="L175" s="21"/>
      <x:c r="M175" s="21"/>
    </x:row>
    <x:row r="176">
      <x:c r="A176" s="21"/>
      <x:c r="L176" s="21"/>
      <x:c r="M176" s="21"/>
    </x:row>
    <x:row r="177">
      <x:c r="A177" s="21"/>
      <x:c r="L177" s="21"/>
      <x:c r="M177" s="21"/>
    </x:row>
    <x:row r="178">
      <x:c r="A178" s="21"/>
      <x:c r="L178" s="21"/>
      <x:c r="M178" s="21"/>
    </x:row>
    <x:row r="179">
      <x:c r="A179" s="21"/>
      <x:c r="L179" s="21"/>
      <x:c r="M179" s="21"/>
    </x:row>
    <x:row r="180">
      <x:c r="A180" s="21"/>
      <x:c r="L180" s="21"/>
      <x:c r="M180" s="21"/>
    </x:row>
    <x:row r="181">
      <x:c r="A181" s="21"/>
      <x:c r="L181" s="21"/>
      <x:c r="M181" s="21"/>
    </x:row>
    <x:row r="182">
      <x:c r="A182" s="21"/>
      <x:c r="L182" s="21"/>
      <x:c r="M182" s="21"/>
    </x:row>
    <x:row r="183">
      <x:c r="A183" s="21"/>
      <x:c r="L183" s="21"/>
      <x:c r="M183" s="21"/>
    </x:row>
    <x:row r="184">
      <x:c r="A184" s="21"/>
      <x:c r="L184" s="21"/>
      <x:c r="M184" s="21"/>
    </x:row>
    <x:row r="185">
      <x:c r="A185" s="21"/>
      <x:c r="L185" s="21"/>
      <x:c r="M185" s="21"/>
    </x:row>
    <x:row r="186">
      <x:c r="A186" s="21"/>
      <x:c r="L186" s="21"/>
      <x:c r="M186" s="21"/>
    </x:row>
    <x:row r="187">
      <x:c r="A187" s="21"/>
      <x:c r="L187" s="21"/>
      <x:c r="M187" s="21"/>
    </x:row>
    <x:row r="188">
      <x:c r="A188" s="21"/>
      <x:c r="L188" s="21"/>
      <x:c r="M188" s="21"/>
    </x:row>
    <x:row r="189">
      <x:c r="A189" s="21"/>
      <x:c r="L189" s="21"/>
      <x:c r="M189" s="21"/>
    </x:row>
    <x:row r="190">
      <x:c r="A190" s="21"/>
      <x:c r="L190" s="21"/>
      <x:c r="M190" s="21"/>
    </x:row>
    <x:row r="191">
      <x:c r="A191" s="21"/>
      <x:c r="L191" s="21"/>
      <x:c r="M191" s="21"/>
    </x:row>
    <x:row r="192">
      <x:c r="A192" s="21"/>
      <x:c r="L192" s="21"/>
      <x:c r="M192" s="21"/>
    </x:row>
    <x:row r="193">
      <x:c r="A193" s="21"/>
      <x:c r="L193" s="21"/>
      <x:c r="M193" s="21"/>
    </x:row>
    <x:row r="194">
      <x:c r="A194" s="21"/>
      <x:c r="L194" s="21"/>
      <x:c r="M194" s="21"/>
    </x:row>
    <x:row r="195">
      <x:c r="A195" s="21"/>
      <x:c r="L195" s="21"/>
      <x:c r="M195" s="21"/>
    </x:row>
    <x:row r="196">
      <x:c r="A196" s="21"/>
      <x:c r="L196" s="21"/>
      <x:c r="M196" s="21"/>
    </x:row>
    <x:row r="197">
      <x:c r="A197" s="21"/>
      <x:c r="L197" s="21"/>
      <x:c r="M197" s="21"/>
    </x:row>
    <x:row r="198">
      <x:c r="A198" s="21"/>
      <x:c r="L198" s="21"/>
      <x:c r="M198" s="21"/>
    </x:row>
    <x:row r="199">
      <x:c r="A199" s="21"/>
      <x:c r="L199" s="21"/>
      <x:c r="M199" s="21"/>
    </x:row>
    <x:row r="200">
      <x:c r="A200" s="21"/>
      <x:c r="L200" s="21"/>
      <x:c r="M200" s="21"/>
    </x:row>
    <x:row r="201">
      <x:c r="A201" s="21"/>
      <x:c r="L201" s="21"/>
      <x:c r="M201" s="21"/>
    </x:row>
    <x:row r="202">
      <x:c r="A202" s="21"/>
      <x:c r="L202" s="21"/>
      <x:c r="M202" s="21"/>
    </x:row>
    <x:row r="203">
      <x:c r="A203" s="21"/>
      <x:c r="L203" s="21"/>
      <x:c r="M203" s="21"/>
    </x:row>
    <x:row r="204">
      <x:c r="A204" s="21"/>
      <x:c r="L204" s="21"/>
      <x:c r="M204" s="21"/>
    </x:row>
    <x:row r="205">
      <x:c r="A205" s="21"/>
      <x:c r="L205" s="21"/>
      <x:c r="M205" s="21"/>
    </x:row>
    <x:row r="206">
      <x:c r="A206" s="21"/>
      <x:c r="L206" s="21"/>
      <x:c r="M206" s="21"/>
    </x:row>
    <x:row r="207">
      <x:c r="A207" s="21"/>
      <x:c r="L207" s="21"/>
      <x:c r="M207" s="21"/>
    </x:row>
    <x:row r="208">
      <x:c r="A208" s="21"/>
      <x:c r="L208" s="21"/>
      <x:c r="M208" s="21"/>
    </x:row>
    <x:row r="209">
      <x:c r="A209" s="21"/>
      <x:c r="L209" s="21"/>
      <x:c r="M209" s="21"/>
    </x:row>
    <x:row r="210">
      <x:c r="A210" s="21"/>
      <x:c r="L210" s="21"/>
      <x:c r="M210" s="21"/>
    </x:row>
    <x:row r="211">
      <x:c r="A211" s="21"/>
      <x:c r="L211" s="21"/>
      <x:c r="M211" s="21"/>
    </x:row>
    <x:row r="212">
      <x:c r="A212" s="21"/>
      <x:c r="L212" s="21"/>
      <x:c r="M212" s="21"/>
    </x:row>
    <x:row r="213">
      <x:c r="A213" s="21"/>
      <x:c r="L213" s="21"/>
      <x:c r="M213" s="21"/>
    </x:row>
    <x:row r="214">
      <x:c r="A214" s="21"/>
      <x:c r="L214" s="21"/>
      <x:c r="M214" s="21"/>
    </x:row>
    <x:row r="215">
      <x:c r="A215" s="21"/>
      <x:c r="L215" s="21"/>
      <x:c r="M215" s="21"/>
    </x:row>
    <x:row r="216">
      <x:c r="A216" s="21"/>
      <x:c r="L216" s="21"/>
      <x:c r="M216" s="21"/>
    </x:row>
    <x:row r="217">
      <x:c r="A217" s="21"/>
      <x:c r="L217" s="21"/>
      <x:c r="M217" s="21"/>
    </x:row>
    <x:row r="218">
      <x:c r="A218" s="21"/>
      <x:c r="L218" s="21"/>
      <x:c r="M218" s="21"/>
    </x:row>
    <x:row r="219">
      <x:c r="A219" s="21"/>
      <x:c r="L219" s="21"/>
      <x:c r="M219" s="21"/>
    </x:row>
    <x:row r="220">
      <x:c r="A220" s="21"/>
      <x:c r="L220" s="21"/>
      <x:c r="M220" s="21"/>
    </x:row>
    <x:row r="221">
      <x:c r="A221" s="21"/>
      <x:c r="L221" s="21"/>
      <x:c r="M221" s="21"/>
    </x:row>
    <x:row r="222">
      <x:c r="A222" s="21"/>
      <x:c r="L222" s="21"/>
      <x:c r="M222" s="21"/>
    </x:row>
    <x:row r="223">
      <x:c r="A223" s="21"/>
      <x:c r="L223" s="21"/>
      <x:c r="M223" s="21"/>
    </x:row>
    <x:row r="224">
      <x:c r="A224" s="21"/>
      <x:c r="L224" s="21"/>
      <x:c r="M224" s="21"/>
    </x:row>
    <x:row r="225">
      <x:c r="A225" s="21"/>
      <x:c r="L225" s="21"/>
      <x:c r="M225" s="21"/>
    </x:row>
    <x:row r="226">
      <x:c r="A226" s="21"/>
      <x:c r="L226" s="21"/>
      <x:c r="M226" s="21"/>
    </x:row>
    <x:row r="227">
      <x:c r="A227" s="21"/>
      <x:c r="L227" s="21"/>
      <x:c r="M227" s="21"/>
    </x:row>
    <x:row r="228">
      <x:c r="A228" s="21"/>
      <x:c r="L228" s="21"/>
      <x:c r="M228" s="21"/>
    </x:row>
    <x:row r="229">
      <x:c r="A229" s="21"/>
      <x:c r="L229" s="21"/>
      <x:c r="M229" s="21"/>
    </x:row>
    <x:row r="230">
      <x:c r="A230" s="21"/>
      <x:c r="L230" s="21"/>
      <x:c r="M230" s="21"/>
    </x:row>
    <x:row r="231">
      <x:c r="A231" s="21"/>
      <x:c r="L231" s="21"/>
      <x:c r="M231" s="21"/>
    </x:row>
    <x:row r="232">
      <x:c r="A232" s="21"/>
      <x:c r="L232" s="21"/>
      <x:c r="M232" s="21"/>
    </x:row>
    <x:row r="233">
      <x:c r="A233" s="21"/>
      <x:c r="L233" s="21"/>
      <x:c r="M233" s="21"/>
    </x:row>
    <x:row r="234">
      <x:c r="A234" s="21"/>
      <x:c r="L234" s="21"/>
      <x:c r="M234" s="21"/>
    </x:row>
    <x:row r="235">
      <x:c r="A235" s="21"/>
      <x:c r="L235" s="21"/>
      <x:c r="M235" s="21"/>
    </x:row>
    <x:row r="236">
      <x:c r="A236" s="21"/>
      <x:c r="L236" s="21"/>
      <x:c r="M236" s="21"/>
    </x:row>
    <x:row r="237">
      <x:c r="A237" s="21"/>
      <x:c r="L237" s="21"/>
      <x:c r="M237" s="21"/>
    </x:row>
    <x:row r="238">
      <x:c r="A238" s="21"/>
      <x:c r="L238" s="21"/>
      <x:c r="M238" s="21"/>
    </x:row>
    <x:row r="239">
      <x:c r="A239" s="21"/>
      <x:c r="L239" s="21"/>
      <x:c r="M239" s="21"/>
    </x:row>
    <x:row r="240">
      <x:c r="A240" s="21"/>
      <x:c r="L240" s="21"/>
      <x:c r="M240" s="21"/>
    </x:row>
    <x:row r="241">
      <x:c r="A241" s="21"/>
      <x:c r="L241" s="21"/>
      <x:c r="M241" s="21"/>
    </x:row>
    <x:row r="242">
      <x:c r="A242" s="21"/>
      <x:c r="L242" s="21"/>
      <x:c r="M242" s="21"/>
    </x:row>
    <x:row r="243">
      <x:c r="A243" s="21"/>
      <x:c r="L243" s="21"/>
      <x:c r="M243" s="21"/>
    </x:row>
    <x:row r="244">
      <x:c r="A244" s="21"/>
      <x:c r="L244" s="21"/>
      <x:c r="M244" s="21"/>
    </x:row>
    <x:row r="245">
      <x:c r="A245" s="21"/>
      <x:c r="L245" s="21"/>
      <x:c r="M245" s="21"/>
    </x:row>
    <x:row r="246">
      <x:c r="A246" s="21"/>
      <x:c r="L246" s="21"/>
      <x:c r="M246" s="21"/>
    </x:row>
    <x:row r="247">
      <x:c r="A247" s="21"/>
      <x:c r="L247" s="21"/>
      <x:c r="M247" s="21"/>
    </x:row>
    <x:row r="248">
      <x:c r="A248" s="21"/>
      <x:c r="L248" s="21"/>
      <x:c r="M248" s="21"/>
    </x:row>
    <x:row r="249">
      <x:c r="A249" s="21"/>
      <x:c r="L249" s="21"/>
      <x:c r="M249" s="21"/>
    </x:row>
    <x:row r="250">
      <x:c r="A250" s="21"/>
      <x:c r="L250" s="21"/>
      <x:c r="M250" s="21"/>
    </x:row>
    <x:row r="251">
      <x:c r="A251" s="21"/>
      <x:c r="L251" s="21"/>
      <x:c r="M251" s="21"/>
    </x:row>
    <x:row r="252">
      <x:c r="A252" s="21"/>
      <x:c r="L252" s="21"/>
      <x:c r="M252" s="21"/>
    </x:row>
    <x:row r="253">
      <x:c r="A253" s="21"/>
      <x:c r="L253" s="21"/>
      <x:c r="M253" s="21"/>
    </x:row>
    <x:row r="254">
      <x:c r="A254" s="21"/>
      <x:c r="L254" s="21"/>
      <x:c r="M254" s="21"/>
    </x:row>
    <x:row r="255">
      <x:c r="A255" s="21"/>
      <x:c r="L255" s="21"/>
      <x:c r="M255" s="21"/>
    </x:row>
    <x:row r="256">
      <x:c r="A256" s="21"/>
      <x:c r="L256" s="21"/>
      <x:c r="M256" s="21"/>
    </x:row>
    <x:row r="257">
      <x:c r="A257" s="21"/>
      <x:c r="L257" s="21"/>
      <x:c r="M257" s="21"/>
    </x:row>
    <x:row r="258">
      <x:c r="A258" s="21"/>
      <x:c r="L258" s="21"/>
      <x:c r="M258" s="21"/>
    </x:row>
    <x:row r="259">
      <x:c r="A259" s="21"/>
      <x:c r="L259" s="21"/>
      <x:c r="M259" s="21"/>
    </x:row>
    <x:row r="260">
      <x:c r="A260" s="21"/>
      <x:c r="L260" s="21"/>
      <x:c r="M260" s="21"/>
    </x:row>
    <x:row r="261">
      <x:c r="A261" s="21"/>
      <x:c r="L261" s="21"/>
      <x:c r="M261" s="21"/>
    </x:row>
    <x:row r="262">
      <x:c r="A262" s="21"/>
      <x:c r="L262" s="21"/>
      <x:c r="M262" s="21"/>
    </x:row>
    <x:row r="263">
      <x:c r="A263" s="21"/>
      <x:c r="L263" s="21"/>
      <x:c r="M263" s="21"/>
    </x:row>
    <x:row r="264">
      <x:c r="A264" s="21"/>
      <x:c r="L264" s="21"/>
      <x:c r="M264" s="21"/>
    </x:row>
    <x:row r="265">
      <x:c r="A265" s="21"/>
      <x:c r="L265" s="21"/>
      <x:c r="M265" s="21"/>
    </x:row>
    <x:row r="266">
      <x:c r="A266" s="21"/>
      <x:c r="L266" s="21"/>
      <x:c r="M266" s="21"/>
    </x:row>
    <x:row r="267">
      <x:c r="A267" s="21"/>
      <x:c r="L267" s="21"/>
      <x:c r="M267" s="21"/>
    </x:row>
    <x:row r="268">
      <x:c r="A268" s="21"/>
      <x:c r="L268" s="21"/>
      <x:c r="M268" s="21"/>
    </x:row>
    <x:row r="269">
      <x:c r="A269" s="21"/>
      <x:c r="L269" s="21"/>
      <x:c r="M269" s="21"/>
    </x:row>
    <x:row r="270">
      <x:c r="A270" s="21"/>
      <x:c r="L270" s="21"/>
      <x:c r="M270" s="21"/>
    </x:row>
    <x:row r="271">
      <x:c r="A271" s="21"/>
      <x:c r="L271" s="21"/>
      <x:c r="M271" s="21"/>
    </x:row>
    <x:row r="272">
      <x:c r="A272" s="21"/>
      <x:c r="L272" s="21"/>
      <x:c r="M272" s="21"/>
    </x:row>
    <x:row r="273">
      <x:c r="A273" s="21"/>
      <x:c r="L273" s="21"/>
      <x:c r="M273" s="21"/>
    </x:row>
    <x:row r="274">
      <x:c r="A274" s="21"/>
      <x:c r="L274" s="21"/>
      <x:c r="M274" s="21"/>
    </x:row>
    <x:row r="275">
      <x:c r="A275" s="21"/>
      <x:c r="L275" s="21"/>
      <x:c r="M275" s="21"/>
    </x:row>
    <x:row r="276">
      <x:c r="A276" s="21"/>
      <x:c r="L276" s="21"/>
      <x:c r="M276" s="21"/>
    </x:row>
    <x:row r="277">
      <x:c r="A277" s="21"/>
      <x:c r="L277" s="21"/>
      <x:c r="M277" s="21"/>
    </x:row>
    <x:row r="278">
      <x:c r="A278" s="21"/>
      <x:c r="L278" s="21"/>
      <x:c r="M278" s="21"/>
    </x:row>
    <x:row r="279">
      <x:c r="A279" s="21"/>
      <x:c r="L279" s="21"/>
      <x:c r="M279" s="21"/>
    </x:row>
    <x:row r="280">
      <x:c r="A280" s="21"/>
      <x:c r="L280" s="21"/>
      <x:c r="M280" s="21"/>
    </x:row>
    <x:row r="281">
      <x:c r="A281" s="21"/>
      <x:c r="L281" s="21"/>
      <x:c r="M281" s="21"/>
    </x:row>
    <x:row r="282">
      <x:c r="A282" s="21"/>
      <x:c r="L282" s="21"/>
      <x:c r="M282" s="21"/>
    </x:row>
    <x:row r="283">
      <x:c r="A283" s="21"/>
      <x:c r="L283" s="21"/>
      <x:c r="M283" s="21"/>
    </x:row>
    <x:row r="284">
      <x:c r="A284" s="21"/>
      <x:c r="L284" s="21"/>
      <x:c r="M284" s="21"/>
    </x:row>
    <x:row r="285">
      <x:c r="A285" s="21"/>
      <x:c r="L285" s="21"/>
      <x:c r="M285" s="21"/>
    </x:row>
    <x:row r="286">
      <x:c r="A286" s="21"/>
      <x:c r="L286" s="21"/>
      <x:c r="M286" s="21"/>
    </x:row>
    <x:row r="287">
      <x:c r="A287" s="21"/>
      <x:c r="L287" s="21"/>
      <x:c r="M287" s="21"/>
    </x:row>
    <x:row r="288">
      <x:c r="A288" s="21"/>
      <x:c r="L288" s="21"/>
      <x:c r="M288" s="21"/>
    </x:row>
    <x:row r="289">
      <x:c r="A289" s="21"/>
      <x:c r="L289" s="21"/>
      <x:c r="M289" s="21"/>
    </x:row>
    <x:row r="290">
      <x:c r="A290" s="21"/>
      <x:c r="L290" s="21"/>
      <x:c r="M290" s="21"/>
    </x:row>
    <x:row r="291">
      <x:c r="A291" s="21"/>
      <x:c r="L291" s="21"/>
      <x:c r="M291" s="21"/>
    </x:row>
    <x:row r="292">
      <x:c r="A292" s="21"/>
      <x:c r="L292" s="21"/>
      <x:c r="M292" s="21"/>
    </x:row>
    <x:row r="293">
      <x:c r="A293" s="21"/>
      <x:c r="L293" s="21"/>
      <x:c r="M293" s="21"/>
    </x:row>
    <x:row r="294">
      <x:c r="A294" s="21"/>
      <x:c r="L294" s="21"/>
      <x:c r="M294" s="21"/>
    </x:row>
    <x:row r="295">
      <x:c r="A295" s="21"/>
      <x:c r="L295" s="21"/>
      <x:c r="M295" s="21"/>
    </x:row>
    <x:row r="296">
      <x:c r="A296" s="21"/>
      <x:c r="L296" s="21"/>
      <x:c r="M296" s="21"/>
    </x:row>
    <x:row r="297">
      <x:c r="A297" s="21"/>
      <x:c r="L297" s="21"/>
      <x:c r="M297" s="21"/>
    </x:row>
    <x:row r="298">
      <x:c r="A298" s="21"/>
      <x:c r="L298" s="21"/>
      <x:c r="M298" s="21"/>
    </x:row>
    <x:row r="299">
      <x:c r="A299" s="21"/>
      <x:c r="L299" s="21"/>
      <x:c r="M299" s="21"/>
    </x:row>
    <x:row r="300">
      <x:c r="A300" s="21"/>
      <x:c r="L300" s="21"/>
      <x:c r="M300" s="21"/>
    </x:row>
    <x:row r="301">
      <x:c r="A301" s="21"/>
      <x:c r="L301" s="21"/>
      <x:c r="M301" s="21"/>
    </x:row>
    <x:row r="302">
      <x:c r="A302" s="21"/>
      <x:c r="L302" s="21"/>
      <x:c r="M302" s="21"/>
    </x:row>
    <x:row r="303">
      <x:c r="A303" s="21"/>
      <x:c r="L303" s="21"/>
      <x:c r="M303" s="21"/>
    </x:row>
    <x:row r="304">
      <x:c r="A304" s="21"/>
      <x:c r="L304" s="21"/>
      <x:c r="M304" s="21"/>
    </x:row>
    <x:row r="305">
      <x:c r="A305" s="21"/>
      <x:c r="L305" s="21"/>
      <x:c r="M305" s="21"/>
    </x:row>
    <x:row r="306">
      <x:c r="A306" s="21"/>
      <x:c r="L306" s="21"/>
      <x:c r="M306" s="21"/>
    </x:row>
    <x:row r="307">
      <x:c r="A307" s="21"/>
      <x:c r="L307" s="21"/>
      <x:c r="M307" s="21"/>
    </x:row>
    <x:row r="308">
      <x:c r="A308" s="21"/>
      <x:c r="L308" s="21"/>
      <x:c r="M308" s="21"/>
    </x:row>
    <x:row r="309">
      <x:c r="A309" s="21"/>
      <x:c r="L309" s="21"/>
      <x:c r="M309" s="21"/>
    </x:row>
    <x:row r="310">
      <x:c r="A310" s="21"/>
      <x:c r="L310" s="21"/>
      <x:c r="M310" s="21"/>
    </x:row>
    <x:row r="311">
      <x:c r="A311" s="21"/>
      <x:c r="L311" s="21"/>
      <x:c r="M311" s="21"/>
    </x:row>
    <x:row r="312">
      <x:c r="A312" s="21"/>
      <x:c r="L312" s="21"/>
      <x:c r="M312" s="21"/>
    </x:row>
    <x:row r="313">
      <x:c r="A313" s="21"/>
      <x:c r="L313" s="21"/>
      <x:c r="M313" s="21"/>
    </x:row>
    <x:row r="314">
      <x:c r="A314" s="21"/>
      <x:c r="L314" s="21"/>
      <x:c r="M314" s="21"/>
    </x:row>
    <x:row r="315">
      <x:c r="A315" s="21"/>
      <x:c r="L315" s="21"/>
      <x:c r="M315" s="21"/>
    </x:row>
    <x:row r="316">
      <x:c r="A316" s="21"/>
      <x:c r="L316" s="21"/>
      <x:c r="M316" s="21"/>
    </x:row>
    <x:row r="317">
      <x:c r="A317" s="21"/>
      <x:c r="L317" s="21"/>
      <x:c r="M317" s="21"/>
    </x:row>
    <x:row r="318">
      <x:c r="A318" s="21"/>
      <x:c r="L318" s="21"/>
      <x:c r="M318" s="21"/>
    </x:row>
    <x:row r="319">
      <x:c r="A319" s="21"/>
      <x:c r="L319" s="21"/>
      <x:c r="M319" s="21"/>
    </x:row>
    <x:row r="320">
      <x:c r="A320" s="21"/>
      <x:c r="L320" s="21"/>
      <x:c r="M320" s="21"/>
    </x:row>
    <x:row r="321">
      <x:c r="A321" s="21"/>
      <x:c r="L321" s="21"/>
      <x:c r="M321" s="21"/>
    </x:row>
    <x:row r="322">
      <x:c r="A322" s="21"/>
      <x:c r="L322" s="21"/>
      <x:c r="M322" s="21"/>
    </x:row>
    <x:row r="323">
      <x:c r="A323" s="21"/>
      <x:c r="L323" s="21"/>
      <x:c r="M323" s="21"/>
    </x:row>
    <x:row r="324">
      <x:c r="A324" s="21"/>
      <x:c r="L324" s="21"/>
      <x:c r="M324" s="21"/>
    </x:row>
    <x:row r="325">
      <x:c r="A325" s="21"/>
      <x:c r="L325" s="21"/>
      <x:c r="M325" s="21"/>
    </x:row>
    <x:row r="326">
      <x:c r="A326" s="21"/>
      <x:c r="L326" s="21"/>
      <x:c r="M326" s="21"/>
    </x:row>
    <x:row r="327">
      <x:c r="A327" s="21"/>
      <x:c r="L327" s="21"/>
      <x:c r="M327" s="21"/>
    </x:row>
    <x:row r="328">
      <x:c r="A328" s="21"/>
      <x:c r="L328" s="21"/>
      <x:c r="M328" s="21"/>
    </x:row>
    <x:row r="329">
      <x:c r="A329" s="21"/>
      <x:c r="L329" s="21"/>
      <x:c r="M329" s="21"/>
    </x:row>
    <x:row r="330">
      <x:c r="A330" s="21"/>
      <x:c r="L330" s="21"/>
      <x:c r="M330" s="21"/>
    </x:row>
    <x:row r="331">
      <x:c r="A331" s="21"/>
      <x:c r="L331" s="21"/>
      <x:c r="M331" s="21"/>
    </x:row>
    <x:row r="332">
      <x:c r="A332" s="21"/>
      <x:c r="L332" s="21"/>
      <x:c r="M332" s="21"/>
    </x:row>
    <x:row r="333">
      <x:c r="A333" s="21"/>
      <x:c r="L333" s="21"/>
      <x:c r="M333" s="21"/>
    </x:row>
    <x:row r="334">
      <x:c r="A334" s="21"/>
      <x:c r="L334" s="21"/>
      <x:c r="M334" s="21"/>
    </x:row>
    <x:row r="335">
      <x:c r="A335" s="21"/>
      <x:c r="L335" s="21"/>
      <x:c r="M335" s="21"/>
    </x:row>
    <x:row r="336">
      <x:c r="A336" s="21"/>
      <x:c r="L336" s="21"/>
      <x:c r="M336" s="21"/>
    </x:row>
    <x:row r="337">
      <x:c r="A337" s="21"/>
      <x:c r="L337" s="21"/>
      <x:c r="M337" s="21"/>
    </x:row>
    <x:row r="338">
      <x:c r="A338" s="21"/>
      <x:c r="L338" s="21"/>
      <x:c r="M338" s="21"/>
    </x:row>
    <x:row r="339">
      <x:c r="A339" s="21"/>
      <x:c r="L339" s="21"/>
      <x:c r="M339" s="21"/>
    </x:row>
    <x:row r="340">
      <x:c r="A340" s="21"/>
      <x:c r="L340" s="21"/>
      <x:c r="M340" s="21"/>
    </x:row>
    <x:row r="341">
      <x:c r="A341" s="21"/>
      <x:c r="L341" s="21"/>
      <x:c r="M341" s="21"/>
    </x:row>
    <x:row r="342">
      <x:c r="A342" s="21"/>
      <x:c r="L342" s="21"/>
      <x:c r="M342" s="21"/>
    </x:row>
    <x:row r="343">
      <x:c r="A343" s="21"/>
      <x:c r="L343" s="21"/>
      <x:c r="M343" s="21"/>
    </x:row>
    <x:row r="344">
      <x:c r="A344" s="21"/>
      <x:c r="L344" s="21"/>
      <x:c r="M344" s="21"/>
    </x:row>
    <x:row r="345">
      <x:c r="A345" s="21"/>
      <x:c r="L345" s="21"/>
      <x:c r="M345" s="21"/>
    </x:row>
    <x:row r="346">
      <x:c r="A346" s="21"/>
      <x:c r="L346" s="21"/>
      <x:c r="M346" s="21"/>
    </x:row>
    <x:row r="347">
      <x:c r="A347" s="21"/>
      <x:c r="L347" s="21"/>
      <x:c r="M347" s="21"/>
    </x:row>
    <x:row r="348">
      <x:c r="A348" s="21"/>
      <x:c r="L348" s="21"/>
      <x:c r="M348" s="21"/>
    </x:row>
    <x:row r="349">
      <x:c r="A349" s="21"/>
      <x:c r="L349" s="21"/>
      <x:c r="M349" s="21"/>
    </x:row>
    <x:row r="350">
      <x:c r="A350" s="21"/>
      <x:c r="L350" s="21"/>
      <x:c r="M350" s="21"/>
    </x:row>
    <x:row r="351">
      <x:c r="A351" s="21"/>
      <x:c r="L351" s="21"/>
      <x:c r="M351" s="21"/>
    </x:row>
    <x:row r="352">
      <x:c r="A352" s="21"/>
      <x:c r="L352" s="21"/>
      <x:c r="M352" s="21"/>
    </x:row>
    <x:row r="353">
      <x:c r="A353" s="21"/>
      <x:c r="L353" s="21"/>
      <x:c r="M353" s="21"/>
    </x:row>
    <x:row r="354">
      <x:c r="A354" s="21"/>
      <x:c r="L354" s="21"/>
      <x:c r="M354" s="21"/>
    </x:row>
    <x:row r="355">
      <x:c r="A355" s="21"/>
      <x:c r="L355" s="21"/>
      <x:c r="M355" s="21"/>
    </x:row>
    <x:row r="356">
      <x:c r="A356" s="21"/>
      <x:c r="L356" s="21"/>
      <x:c r="M356" s="21"/>
    </x:row>
    <x:row r="357">
      <x:c r="A357" s="21"/>
      <x:c r="L357" s="21"/>
      <x:c r="M357" s="21"/>
    </x:row>
    <x:row r="358">
      <x:c r="A358" s="21"/>
      <x:c r="L358" s="21"/>
      <x:c r="M358" s="21"/>
    </x:row>
    <x:row r="359">
      <x:c r="A359" s="21"/>
      <x:c r="L359" s="21"/>
      <x:c r="M359" s="21"/>
    </x:row>
    <x:row r="360">
      <x:c r="A360" s="21"/>
      <x:c r="L360" s="21"/>
      <x:c r="M360" s="21"/>
    </x:row>
    <x:row r="361">
      <x:c r="A361" s="21"/>
      <x:c r="L361" s="21"/>
      <x:c r="M361" s="21"/>
    </x:row>
    <x:row r="362">
      <x:c r="A362" s="21"/>
      <x:c r="L362" s="21"/>
      <x:c r="M362" s="21"/>
    </x:row>
    <x:row r="363">
      <x:c r="A363" s="21"/>
      <x:c r="L363" s="21"/>
      <x:c r="M363" s="21"/>
    </x:row>
    <x:row r="364">
      <x:c r="A364" s="21"/>
      <x:c r="L364" s="21"/>
      <x:c r="M364" s="21"/>
    </x:row>
    <x:row r="365">
      <x:c r="A365" s="21"/>
      <x:c r="L365" s="21"/>
      <x:c r="M365" s="21"/>
    </x:row>
    <x:row r="366">
      <x:c r="A366" s="21"/>
      <x:c r="L366" s="21"/>
      <x:c r="M366" s="21"/>
    </x:row>
    <x:row r="367">
      <x:c r="A367" s="21"/>
      <x:c r="L367" s="21"/>
      <x:c r="M367" s="21"/>
    </x:row>
    <x:row r="368">
      <x:c r="A368" s="21"/>
      <x:c r="L368" s="21"/>
      <x:c r="M368" s="21"/>
    </x:row>
    <x:row r="369">
      <x:c r="A369" s="21"/>
      <x:c r="L369" s="21"/>
      <x:c r="M369" s="21"/>
    </x:row>
    <x:row r="370">
      <x:c r="A370" s="21"/>
      <x:c r="L370" s="21"/>
      <x:c r="M370" s="21"/>
    </x:row>
    <x:row r="371">
      <x:c r="A371" s="21"/>
      <x:c r="L371" s="21"/>
      <x:c r="M371" s="21"/>
    </x:row>
    <x:row r="372">
      <x:c r="A372" s="21"/>
      <x:c r="L372" s="21"/>
      <x:c r="M372" s="21"/>
    </x:row>
    <x:row r="373">
      <x:c r="A373" s="21"/>
      <x:c r="L373" s="21"/>
      <x:c r="M373" s="21"/>
    </x:row>
    <x:row r="374">
      <x:c r="A374" s="21"/>
      <x:c r="L374" s="21"/>
      <x:c r="M374" s="21"/>
    </x:row>
    <x:row r="375">
      <x:c r="A375" s="21"/>
      <x:c r="L375" s="21"/>
      <x:c r="M375" s="21"/>
    </x:row>
    <x:row r="376">
      <x:c r="A376" s="21"/>
      <x:c r="L376" s="21"/>
      <x:c r="M376" s="21"/>
    </x:row>
    <x:row r="377">
      <x:c r="A377" s="21"/>
      <x:c r="L377" s="21"/>
      <x:c r="M377" s="21"/>
    </x:row>
    <x:row r="378">
      <x:c r="A378" s="21"/>
      <x:c r="L378" s="21"/>
      <x:c r="M378" s="21"/>
    </x:row>
    <x:row r="379">
      <x:c r="A379" s="21"/>
      <x:c r="L379" s="21"/>
      <x:c r="M379" s="21"/>
    </x:row>
    <x:row r="380">
      <x:c r="A380" s="21"/>
      <x:c r="L380" s="21"/>
      <x:c r="M380" s="21"/>
    </x:row>
    <x:row r="381">
      <x:c r="A381" s="21"/>
      <x:c r="L381" s="21"/>
      <x:c r="M381" s="21"/>
    </x:row>
    <x:row r="382">
      <x:c r="A382" s="21"/>
      <x:c r="L382" s="21"/>
      <x:c r="M382" s="21"/>
    </x:row>
    <x:row r="383">
      <x:c r="A383" s="21"/>
      <x:c r="L383" s="21"/>
      <x:c r="M383" s="21"/>
    </x:row>
    <x:row r="384">
      <x:c r="A384" s="21"/>
      <x:c r="L384" s="21"/>
      <x:c r="M384" s="21"/>
    </x:row>
    <x:row r="385">
      <x:c r="A385" s="21"/>
      <x:c r="L385" s="21"/>
      <x:c r="M385" s="21"/>
    </x:row>
    <x:row r="386">
      <x:c r="A386" s="21"/>
      <x:c r="L386" s="21"/>
      <x:c r="M386" s="21"/>
    </x:row>
    <x:row r="387">
      <x:c r="A387" s="21"/>
      <x:c r="L387" s="21"/>
      <x:c r="M387" s="21"/>
    </x:row>
    <x:row r="388">
      <x:c r="A388" s="21"/>
      <x:c r="L388" s="21"/>
      <x:c r="M388" s="21"/>
    </x:row>
    <x:row r="389">
      <x:c r="A389" s="21"/>
      <x:c r="L389" s="21"/>
      <x:c r="M389" s="21"/>
    </x:row>
    <x:row r="390">
      <x:c r="A390" s="21"/>
      <x:c r="L390" s="21"/>
      <x:c r="M390" s="21"/>
    </x:row>
    <x:row r="391">
      <x:c r="A391" s="21"/>
      <x:c r="L391" s="21"/>
      <x:c r="M391" s="21"/>
    </x:row>
    <x:row r="392">
      <x:c r="A392" s="21"/>
      <x:c r="L392" s="21"/>
      <x:c r="M392" s="21"/>
    </x:row>
    <x:row r="393">
      <x:c r="A393" s="21"/>
      <x:c r="L393" s="21"/>
      <x:c r="M393" s="21"/>
    </x:row>
    <x:row r="394">
      <x:c r="A394" s="21"/>
      <x:c r="L394" s="21"/>
      <x:c r="M394" s="21"/>
    </x:row>
    <x:row r="395">
      <x:c r="A395" s="21"/>
      <x:c r="L395" s="21"/>
      <x:c r="M395" s="21"/>
    </x:row>
    <x:row r="396">
      <x:c r="A396" s="21"/>
      <x:c r="L396" s="21"/>
      <x:c r="M396" s="21"/>
    </x:row>
    <x:row r="397">
      <x:c r="A397" s="21"/>
      <x:c r="L397" s="21"/>
      <x:c r="M397" s="21"/>
    </x:row>
    <x:row r="398">
      <x:c r="A398" s="21"/>
      <x:c r="L398" s="21"/>
      <x:c r="M398" s="21"/>
    </x:row>
    <x:row r="399">
      <x:c r="A399" s="21"/>
      <x:c r="L399" s="21"/>
      <x:c r="M399" s="21"/>
    </x:row>
    <x:row r="400">
      <x:c r="A400" s="21"/>
      <x:c r="L400" s="21"/>
      <x:c r="M400" s="21"/>
    </x:row>
    <x:row r="401">
      <x:c r="A401" s="21"/>
      <x:c r="L401" s="21"/>
      <x:c r="M401" s="21"/>
    </x:row>
    <x:row r="402">
      <x:c r="A402" s="21"/>
      <x:c r="L402" s="21"/>
      <x:c r="M402" s="21"/>
    </x:row>
    <x:row r="403">
      <x:c r="A403" s="21"/>
      <x:c r="L403" s="21"/>
      <x:c r="M403" s="21"/>
    </x:row>
    <x:row r="404">
      <x:c r="A404" s="21"/>
      <x:c r="L404" s="21"/>
      <x:c r="M404" s="21"/>
    </x:row>
    <x:row r="405">
      <x:c r="A405" s="21"/>
      <x:c r="L405" s="21"/>
      <x:c r="M405" s="21"/>
    </x:row>
    <x:row r="406">
      <x:c r="A406" s="21"/>
      <x:c r="L406" s="21"/>
      <x:c r="M406" s="21"/>
    </x:row>
    <x:row r="407">
      <x:c r="A407" s="21"/>
      <x:c r="L407" s="21"/>
      <x:c r="M407" s="21"/>
    </x:row>
    <x:row r="408">
      <x:c r="A408" s="21"/>
      <x:c r="L408" s="21"/>
      <x:c r="M408" s="21"/>
    </x:row>
    <x:row r="409">
      <x:c r="A409" s="21"/>
      <x:c r="L409" s="21"/>
      <x:c r="M409" s="21"/>
    </x:row>
    <x:row r="410">
      <x:c r="A410" s="21"/>
      <x:c r="L410" s="21"/>
      <x:c r="M410" s="21"/>
    </x:row>
    <x:row r="411">
      <x:c r="A411" s="21"/>
      <x:c r="L411" s="21"/>
      <x:c r="M411" s="21"/>
    </x:row>
    <x:row r="412">
      <x:c r="A412" s="21"/>
      <x:c r="L412" s="21"/>
      <x:c r="M412" s="21"/>
    </x:row>
    <x:row r="413">
      <x:c r="A413" s="21"/>
      <x:c r="L413" s="21"/>
      <x:c r="M413" s="21"/>
    </x:row>
    <x:row r="414">
      <x:c r="A414" s="21"/>
      <x:c r="L414" s="21"/>
      <x:c r="M414" s="21"/>
    </x:row>
    <x:row r="415">
      <x:c r="A415" s="21"/>
      <x:c r="L415" s="21"/>
      <x:c r="M415" s="21"/>
    </x:row>
    <x:row r="416">
      <x:c r="A416" s="21"/>
      <x:c r="L416" s="21"/>
      <x:c r="M416" s="21"/>
    </x:row>
    <x:row r="417">
      <x:c r="A417" s="21"/>
      <x:c r="L417" s="21"/>
      <x:c r="M417" s="21"/>
    </x:row>
    <x:row r="418">
      <x:c r="A418" s="21"/>
      <x:c r="L418" s="21"/>
      <x:c r="M418" s="21"/>
    </x:row>
    <x:row r="419">
      <x:c r="A419" s="21"/>
      <x:c r="L419" s="21"/>
      <x:c r="M419" s="21"/>
    </x:row>
    <x:row r="420">
      <x:c r="A420" s="21"/>
      <x:c r="L420" s="21"/>
      <x:c r="M420" s="21"/>
    </x:row>
    <x:row r="421">
      <x:c r="A421" s="21"/>
      <x:c r="L421" s="21"/>
      <x:c r="M421" s="21"/>
    </x:row>
    <x:row r="422">
      <x:c r="A422" s="21"/>
      <x:c r="L422" s="21"/>
      <x:c r="M422" s="21"/>
    </x:row>
    <x:row r="423">
      <x:c r="A423" s="21"/>
      <x:c r="L423" s="21"/>
      <x:c r="M423" s="21"/>
    </x:row>
    <x:row r="424">
      <x:c r="A424" s="21"/>
      <x:c r="L424" s="21"/>
      <x:c r="M424" s="21"/>
    </x:row>
    <x:row r="425">
      <x:c r="A425" s="21"/>
      <x:c r="L425" s="21"/>
      <x:c r="M425" s="21"/>
    </x:row>
    <x:row r="426">
      <x:c r="A426" s="21"/>
      <x:c r="L426" s="21"/>
      <x:c r="M426" s="21"/>
    </x:row>
    <x:row r="427">
      <x:c r="A427" s="21"/>
      <x:c r="L427" s="21"/>
      <x:c r="M427" s="21"/>
    </x:row>
    <x:row r="428">
      <x:c r="A428" s="21"/>
      <x:c r="L428" s="21"/>
      <x:c r="M428" s="21"/>
    </x:row>
    <x:row r="429">
      <x:c r="A429" s="21"/>
      <x:c r="L429" s="21"/>
      <x:c r="M429" s="21"/>
    </x:row>
    <x:row r="430">
      <x:c r="A430" s="21"/>
      <x:c r="L430" s="21"/>
      <x:c r="M430" s="21"/>
    </x:row>
    <x:row r="431">
      <x:c r="A431" s="21"/>
      <x:c r="L431" s="21"/>
      <x:c r="M431" s="21"/>
    </x:row>
    <x:row r="432">
      <x:c r="A432" s="21"/>
      <x:c r="L432" s="21"/>
      <x:c r="M432" s="21"/>
    </x:row>
    <x:row r="433">
      <x:c r="A433" s="21"/>
      <x:c r="L433" s="21"/>
      <x:c r="M433" s="21"/>
    </x:row>
    <x:row r="434">
      <x:c r="A434" s="21"/>
      <x:c r="L434" s="21"/>
      <x:c r="M434" s="21"/>
    </x:row>
    <x:row r="435">
      <x:c r="A435" s="21"/>
      <x:c r="L435" s="21"/>
      <x:c r="M435" s="21"/>
    </x:row>
    <x:row r="436">
      <x:c r="A436" s="21"/>
      <x:c r="L436" s="21"/>
      <x:c r="M436" s="21"/>
    </x:row>
    <x:row r="437">
      <x:c r="A437" s="21"/>
      <x:c r="L437" s="21"/>
      <x:c r="M437" s="21"/>
    </x:row>
    <x:row r="438">
      <x:c r="A438" s="21"/>
      <x:c r="L438" s="21"/>
      <x:c r="M438" s="21"/>
    </x:row>
    <x:row r="439">
      <x:c r="A439" s="21"/>
      <x:c r="L439" s="21"/>
      <x:c r="M439" s="21"/>
    </x:row>
    <x:row r="440">
      <x:c r="A440" s="21"/>
      <x:c r="L440" s="21"/>
      <x:c r="M440" s="21"/>
    </x:row>
    <x:row r="441">
      <x:c r="A441" s="21"/>
      <x:c r="L441" s="21"/>
      <x:c r="M441" s="21"/>
    </x:row>
    <x:row r="442">
      <x:c r="A442" s="21"/>
      <x:c r="L442" s="21"/>
      <x:c r="M442" s="21"/>
    </x:row>
    <x:row r="443">
      <x:c r="A443" s="21"/>
      <x:c r="L443" s="21"/>
      <x:c r="M443" s="21"/>
    </x:row>
    <x:row r="444">
      <x:c r="A444" s="21"/>
      <x:c r="L444" s="21"/>
      <x:c r="M444" s="21"/>
    </x:row>
    <x:row r="445">
      <x:c r="A445" s="21"/>
      <x:c r="L445" s="21"/>
      <x:c r="M445" s="21"/>
    </x:row>
    <x:row r="446">
      <x:c r="A446" s="21"/>
      <x:c r="L446" s="21"/>
      <x:c r="M446" s="21"/>
    </x:row>
    <x:row r="447">
      <x:c r="A447" s="21"/>
      <x:c r="L447" s="21"/>
      <x:c r="M447" s="21"/>
    </x:row>
    <x:row r="448">
      <x:c r="A448" s="21"/>
      <x:c r="L448" s="21"/>
      <x:c r="M448" s="21"/>
    </x:row>
    <x:row r="449">
      <x:c r="A449" s="21"/>
      <x:c r="L449" s="21"/>
      <x:c r="M449" s="21"/>
    </x:row>
    <x:row r="450">
      <x:c r="A450" s="21"/>
      <x:c r="L450" s="21"/>
      <x:c r="M450" s="21"/>
    </x:row>
    <x:row r="451">
      <x:c r="A451" s="21"/>
      <x:c r="L451" s="21"/>
      <x:c r="M451" s="21"/>
    </x:row>
    <x:row r="452">
      <x:c r="A452" s="21"/>
      <x:c r="L452" s="21"/>
      <x:c r="M452" s="21"/>
    </x:row>
    <x:row r="453">
      <x:c r="A453" s="21"/>
      <x:c r="L453" s="21"/>
      <x:c r="M453" s="21"/>
    </x:row>
    <x:row r="454">
      <x:c r="A454" s="21"/>
      <x:c r="L454" s="21"/>
      <x:c r="M454" s="21"/>
    </x:row>
    <x:row r="455">
      <x:c r="A455" s="21"/>
      <x:c r="L455" s="21"/>
      <x:c r="M455" s="21"/>
    </x:row>
    <x:row r="456">
      <x:c r="A456" s="21"/>
      <x:c r="L456" s="21"/>
      <x:c r="M456" s="21"/>
    </x:row>
    <x:row r="457">
      <x:c r="A457" s="21"/>
      <x:c r="L457" s="21"/>
      <x:c r="M457" s="21"/>
    </x:row>
    <x:row r="458">
      <x:c r="A458" s="21"/>
      <x:c r="L458" s="21"/>
      <x:c r="M458" s="21"/>
    </x:row>
    <x:row r="459">
      <x:c r="A459" s="21"/>
      <x:c r="L459" s="21"/>
      <x:c r="M459" s="21"/>
    </x:row>
    <x:row r="460">
      <x:c r="A460" s="21"/>
      <x:c r="L460" s="21"/>
      <x:c r="M460" s="21"/>
    </x:row>
    <x:row r="461">
      <x:c r="A461" s="21"/>
      <x:c r="L461" s="21"/>
      <x:c r="M461" s="21"/>
    </x:row>
    <x:row r="462">
      <x:c r="A462" s="21"/>
      <x:c r="L462" s="21"/>
      <x:c r="M462" s="21"/>
    </x:row>
    <x:row r="463">
      <x:c r="A463" s="21"/>
      <x:c r="L463" s="21"/>
      <x:c r="M463" s="21"/>
    </x:row>
    <x:row r="464">
      <x:c r="A464" s="21"/>
      <x:c r="L464" s="21"/>
      <x:c r="M464" s="21"/>
    </x:row>
    <x:row r="465">
      <x:c r="A465" s="21"/>
      <x:c r="L465" s="21"/>
      <x:c r="M465" s="21"/>
    </x:row>
    <x:row r="466">
      <x:c r="A466" s="21"/>
      <x:c r="L466" s="21"/>
      <x:c r="M466" s="21"/>
    </x:row>
    <x:row r="467">
      <x:c r="A467" s="21"/>
      <x:c r="L467" s="21"/>
      <x:c r="M467" s="21"/>
    </x:row>
    <x:row r="468">
      <x:c r="A468" s="21"/>
      <x:c r="L468" s="21"/>
      <x:c r="M468" s="21"/>
    </x:row>
    <x:row r="469">
      <x:c r="A469" s="21"/>
      <x:c r="L469" s="21"/>
      <x:c r="M469" s="21"/>
    </x:row>
    <x:row r="470">
      <x:c r="A470" s="21"/>
      <x:c r="L470" s="21"/>
      <x:c r="M470" s="21"/>
    </x:row>
    <x:row r="471">
      <x:c r="A471" s="21"/>
      <x:c r="L471" s="21"/>
      <x:c r="M471" s="21"/>
    </x:row>
    <x:row r="472">
      <x:c r="A472" s="21"/>
      <x:c r="L472" s="21"/>
      <x:c r="M472" s="21"/>
    </x:row>
    <x:row r="473">
      <x:c r="A473" s="21"/>
      <x:c r="L473" s="21"/>
      <x:c r="M473" s="21"/>
    </x:row>
    <x:row r="474">
      <x:c r="A474" s="21"/>
      <x:c r="L474" s="21"/>
      <x:c r="M474" s="21"/>
    </x:row>
    <x:row r="475">
      <x:c r="A475" s="21"/>
      <x:c r="L475" s="21"/>
      <x:c r="M475" s="21"/>
    </x:row>
    <x:row r="476">
      <x:c r="A476" s="21"/>
      <x:c r="L476" s="21"/>
      <x:c r="M476" s="21"/>
    </x:row>
    <x:row r="477">
      <x:c r="A477" s="21"/>
      <x:c r="L477" s="21"/>
      <x:c r="M477" s="21"/>
    </x:row>
    <x:row r="478">
      <x:c r="A478" s="21"/>
      <x:c r="L478" s="21"/>
      <x:c r="M478" s="21"/>
    </x:row>
    <x:row r="479">
      <x:c r="A479" s="21"/>
      <x:c r="L479" s="21"/>
      <x:c r="M479" s="21"/>
    </x:row>
    <x:row r="480">
      <x:c r="A480" s="21"/>
      <x:c r="L480" s="21"/>
      <x:c r="M480" s="21"/>
    </x:row>
    <x:row r="481">
      <x:c r="A481" s="21"/>
      <x:c r="L481" s="21"/>
      <x:c r="M481" s="21"/>
    </x:row>
    <x:row r="482">
      <x:c r="A482" s="21"/>
      <x:c r="L482" s="21"/>
      <x:c r="M482" s="21"/>
    </x:row>
    <x:row r="483">
      <x:c r="A483" s="21"/>
      <x:c r="L483" s="21"/>
      <x:c r="M483" s="21"/>
    </x:row>
    <x:row r="484">
      <x:c r="A484" s="21"/>
      <x:c r="L484" s="21"/>
      <x:c r="M484" s="21"/>
    </x:row>
    <x:row r="485">
      <x:c r="A485" s="21"/>
      <x:c r="L485" s="21"/>
      <x:c r="M485" s="21"/>
    </x:row>
    <x:row r="486">
      <x:c r="A486" s="21"/>
      <x:c r="L486" s="21"/>
      <x:c r="M486" s="21"/>
    </x:row>
    <x:row r="487">
      <x:c r="A487" s="21"/>
      <x:c r="L487" s="21"/>
      <x:c r="M487" s="21"/>
    </x:row>
    <x:row r="488">
      <x:c r="A488" s="21"/>
      <x:c r="L488" s="21"/>
      <x:c r="M488" s="21"/>
    </x:row>
    <x:row r="489">
      <x:c r="A489" s="21"/>
      <x:c r="L489" s="21"/>
      <x:c r="M489" s="21"/>
    </x:row>
    <x:row r="490">
      <x:c r="A490" s="21"/>
      <x:c r="L490" s="21"/>
      <x:c r="M490" s="21"/>
    </x:row>
    <x:row r="491">
      <x:c r="A491" s="21"/>
      <x:c r="L491" s="21"/>
      <x:c r="M491" s="21"/>
    </x:row>
    <x:row r="492">
      <x:c r="A492" s="21"/>
      <x:c r="L492" s="21"/>
      <x:c r="M492" s="21"/>
    </x:row>
    <x:row r="493">
      <x:c r="A493" s="21"/>
      <x:c r="L493" s="21"/>
      <x:c r="M493" s="21"/>
    </x:row>
    <x:row r="494">
      <x:c r="A494" s="21"/>
      <x:c r="L494" s="21"/>
      <x:c r="M494" s="21"/>
    </x:row>
    <x:row r="495">
      <x:c r="A495" s="21"/>
      <x:c r="L495" s="21"/>
      <x:c r="M495" s="21"/>
    </x:row>
    <x:row r="496">
      <x:c r="A496" s="21"/>
      <x:c r="L496" s="21"/>
      <x:c r="M496" s="21"/>
    </x:row>
    <x:row r="497">
      <x:c r="A497" s="21"/>
      <x:c r="L497" s="21"/>
      <x:c r="M497" s="21"/>
    </x:row>
    <x:row r="498">
      <x:c r="A498" s="21"/>
      <x:c r="L498" s="21"/>
      <x:c r="M498" s="21"/>
    </x:row>
    <x:row r="499">
      <x:c r="A499" s="21"/>
      <x:c r="L499" s="21"/>
      <x:c r="M499" s="21"/>
    </x:row>
    <x:row r="500">
      <x:c r="A500" s="21"/>
      <x:c r="L500" s="21"/>
      <x:c r="M500" s="21"/>
    </x:row>
  </x:sheetData>
  <x:conditionalFormatting sqref="P2:P500">
    <x:cfRule type="containsText" dxfId="0" priority="1" operator="containsText" text="OK"/>
    <x:cfRule type="containsText" dxfId="1" priority="2" operator="containsText" text="Missing required field"/>
    <x:cfRule type="containsText" dxfId="2" priority="3" operator="containsText" text="Duplicate ID"/>
  </x:conditionalFormatting>
  <x:dataValidations count="8">
    <x:dataValidation type="whole" operator="between" sqref="A2:A500">
      <x:formula1>1</x:formula1>
      <x:formula2>999999</x:formula2>
    </x:dataValidation>
    <x:dataValidation type="list" sqref="E2:E500">
      <x:formula1>Lookups!$A$4:$A$7</x:formula1>
    </x:dataValidation>
    <x:dataValidation type="list" sqref="G2:G500">
      <x:formula1>Lookups!$E$4:$E$6</x:formula1>
    </x:dataValidation>
    <x:dataValidation type="list" sqref="H2:H500">
      <x:formula1>Lookups!$H$4:$H$11</x:formula1>
    </x:dataValidation>
    <x:dataValidation type="list" sqref="I2:I500">
      <x:formula1>Lookups!$K$4:$K$4</x:formula1>
    </x:dataValidation>
    <x:dataValidation type="list" sqref="J2:J500">
      <x:formula1>Lookups!$N$4:$N$8</x:formula1>
    </x:dataValidation>
    <x:dataValidation type="whole" operator="between" sqref="L2:L500">
      <x:formula1>1900</x:formula1>
      <x:formula2>2100</x:formula2>
    </x:dataValidation>
    <x:dataValidation type="whole" operator="between" sqref="M2:M500">
      <x:formula1>0</x:formula1>
      <x:formula2>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930a29d87b7646e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1.25" hidden="0" customWidth="1"/>
    <x:col min="3" max="3" width="14.380000114440918" hidden="0" customWidth="1"/>
    <x:col min="4" max="4" width="27.5" hidden="0" customWidth="1"/>
    <x:col min="5" max="5" width="27.5" hidden="0" customWidth="1"/>
    <x:col min="6" max="6" width="31.25" hidden="0" customWidth="1"/>
    <x:col min="7" max="7" width="15" hidden="0" customWidth="1"/>
    <x:col min="8" max="8" width="15" hidden="0" customWidth="1"/>
  </x:cols>
  <x:sheetData>
    <x:row r="1" ht="36" customHeight="1">
      <x:c r="A1" s="62" t="str">
        <x:v>NDEC Learning Resource Database</x:v>
      </x:c>
      <x:c r="B1" s="62"/>
      <x:c r="C1" s="62"/>
      <x:c r="D1" s="62"/>
      <x:c r="E1" s="62"/>
      <x:c r="F1" s="62"/>
      <x:c r="G1" s="62"/>
      <x:c r="H1" s="62"/>
    </x:row>
    <x:row r="2" ht="31.5" customHeight="1">
      <x:c r="A2" s="63" t="str">
        <x:v>The Resources sheet mirrors the repository’s current data structure and is intended to become the editable source for future website updates.</x:v>
      </x:c>
      <x:c r="B2" s="63"/>
      <x:c r="C2" s="63"/>
      <x:c r="D2" s="63"/>
      <x:c r="E2" s="63"/>
      <x:c r="F2" s="63"/>
      <x:c r="G2" s="63"/>
      <x:c r="H2" s="63"/>
    </x:row>
    <x:row r="3">
      <x:c r="A3" s="64"/>
      <x:c r="B3" s="64"/>
      <x:c r="C3" s="64"/>
      <x:c r="D3" s="64"/>
      <x:c r="E3" s="64"/>
      <x:c r="F3" s="64"/>
      <x:c r="G3" s="64"/>
      <x:c r="H3" s="64"/>
    </x:row>
    <x:row r="4" ht="33" customHeight="1">
      <x:c r="A4" s="65" t="str">
        <x:v>Current records</x:v>
      </x:c>
      <x:c r="B4" s="66" t="n">
        <x:f>COUNTA('Resources'!$A$2:$A$500)</x:f>
        <x:v>29</x:v>
      </x:c>
      <x:c r="C4" s="67" t="str">
        <x:v>Next suggested ID</x:v>
      </x:c>
      <x:c r="D4" s="68" t="n">
        <x:f>MAX('Resources'!$A$2:$A$500)+1</x:f>
        <x:v>30</x:v>
      </x:c>
      <x:c r="E4" s="67" t="str">
        <x:v>NDEC reviewed</x:v>
      </x:c>
      <x:c r="F4" s="68" t="n">
        <x:f>COUNTIF('Resources'!$I$2:$I$500,"ndec")</x:f>
        <x:v>0</x:v>
      </x:c>
      <x:c r="G4" s="67" t="str">
        <x:v>Data issues</x:v>
      </x:c>
      <x:c r="H4" s="68" t="n">
        <x:f>COUNTIF('Resources'!$P$2:$P$500,"&lt;&gt;OK")-COUNTBLANK('Resources'!$P$2:$P$500)</x:f>
        <x:v>0</x:v>
      </x:c>
    </x:row>
    <x:row r="5">
      <x:c r="A5" s="64"/>
      <x:c r="B5" s="64"/>
      <x:c r="C5" s="64"/>
      <x:c r="D5" s="64"/>
      <x:c r="E5" s="64"/>
      <x:c r="F5" s="64"/>
      <x:c r="G5" s="64"/>
      <x:c r="H5" s="64"/>
    </x:row>
    <x:row r="6" ht="25.5" customHeight="1">
      <x:c r="A6" s="69" t="str">
        <x:v>How to add or update a resource</x:v>
      </x:c>
      <x:c r="B6" s="69"/>
      <x:c r="C6" s="69"/>
      <x:c r="D6" s="69"/>
      <x:c r="E6" s="69"/>
      <x:c r="F6" s="69"/>
      <x:c r="G6" s="69"/>
      <x:c r="H6" s="69"/>
    </x:row>
    <x:row r="7" ht="25.5" customHeight="1">
      <x:c r="A7" s="70" t="str">
        <x:v>1. Add a new row at the bottom of Resources and use the Next suggested ID shown above.</x:v>
      </x:c>
      <x:c r="B7" s="70"/>
      <x:c r="C7" s="70"/>
      <x:c r="D7" s="70"/>
      <x:c r="E7" s="70"/>
      <x:c r="F7" s="70"/>
      <x:c r="G7" s="70"/>
      <x:c r="H7" s="70"/>
    </x:row>
    <x:row r="8" ht="25.5" customHeight="1">
      <x:c r="A8" s="71" t="str">
        <x:v>2. Complete every field except review. Leave review blank unless the resource has completed NDEC peer review; then enter ndec.</x:v>
      </x:c>
      <x:c r="B8" s="71"/>
      <x:c r="C8" s="71"/>
      <x:c r="D8" s="71"/>
      <x:c r="E8" s="71"/>
      <x:c r="F8" s="71"/>
      <x:c r="G8" s="71"/>
      <x:c r="H8" s="71"/>
    </x:row>
    <x:row r="9" ht="25.5" customHeight="1">
      <x:c r="A9" s="70" t="str">
        <x:v>3. Separate multiple specialties and tags with a vertical bar: value one | value two | value three.</x:v>
      </x:c>
      <x:c r="B9" s="70"/>
      <x:c r="C9" s="70"/>
      <x:c r="D9" s="70"/>
      <x:c r="E9" s="70"/>
      <x:c r="F9" s="70"/>
      <x:c r="G9" s="70"/>
      <x:c r="H9" s="70"/>
    </x:row>
    <x:row r="10" ht="25.5" customHeight="1">
      <x:c r="A10" s="71" t="str">
        <x:v>4. Use the dropdown values for level, population, format, review, and access. The Lookups sheet documents each code.</x:v>
      </x:c>
      <x:c r="B10" s="71"/>
      <x:c r="C10" s="71"/>
      <x:c r="D10" s="71"/>
      <x:c r="E10" s="71"/>
      <x:c r="F10" s="71"/>
      <x:c r="G10" s="71"/>
      <x:c r="H10" s="71"/>
    </x:row>
    <x:row r="11" ht="25.5" customHeight="1">
      <x:c r="A11" s="70" t="str">
        <x:v>5. Confirm record_check displays OK. Do not overwrite that calculated column.</x:v>
      </x:c>
      <x:c r="B11" s="70"/>
      <x:c r="C11" s="70"/>
      <x:c r="D11" s="70"/>
      <x:c r="E11" s="70"/>
      <x:c r="F11" s="70"/>
      <x:c r="G11" s="70"/>
      <x:c r="H11" s="70"/>
    </x:row>
    <x:row r="12" ht="25.5" customHeight="1">
      <x:c r="A12" s="71" t="str">
        <x:v>6. Classify learning level by what the resource enables someone to do and the knowledge it assumes—not by trainee rank or topic alone.</x:v>
      </x:c>
      <x:c r="B12" s="71"/>
      <x:c r="C12" s="71"/>
      <x:c r="D12" s="71"/>
      <x:c r="E12" s="71"/>
      <x:c r="F12" s="71"/>
      <x:c r="G12" s="71"/>
      <x:c r="H12" s="71"/>
    </x:row>
    <x:row r="13">
      <x:c r="A13" s="64"/>
      <x:c r="B13" s="64"/>
      <x:c r="C13" s="64"/>
      <x:c r="D13" s="64"/>
      <x:c r="E13" s="64"/>
      <x:c r="F13" s="64"/>
      <x:c r="G13" s="64"/>
      <x:c r="H13" s="64"/>
    </x:row>
    <x:row r="14" ht="25.5" customHeight="1">
      <x:c r="A14" s="72" t="str">
        <x:v>Field guide</x:v>
      </x:c>
      <x:c r="B14" s="72"/>
      <x:c r="C14" s="72"/>
      <x:c r="D14" s="72"/>
      <x:c r="E14" s="72"/>
      <x:c r="F14" s="72"/>
      <x:c r="G14" s="72"/>
      <x:c r="H14" s="72"/>
    </x:row>
    <x:row r="15">
      <x:c r="A15" s="73" t="str">
        <x:v>Field</x:v>
      </x:c>
      <x:c r="B15" s="73" t="str">
        <x:v>Required</x:v>
      </x:c>
      <x:c r="C15" s="73" t="str">
        <x:v>Data type</x:v>
      </x:c>
      <x:c r="D15" s="73" t="str">
        <x:v>Allowed values / format</x:v>
      </x:c>
      <x:c r="E15" s="73" t="str">
        <x:v>Purpose</x:v>
      </x:c>
      <x:c r="F15" s="73" t="str">
        <x:v>Editing note</x:v>
      </x:c>
      <x:c r="G15" s="64"/>
      <x:c r="H15" s="64"/>
    </x:row>
    <x:row r="16" ht="43.5" customHeight="1">
      <x:c r="A16" s="74" t="str">
        <x:v>id</x:v>
      </x:c>
      <x:c r="B16" s="74" t="str">
        <x:v>Yes</x:v>
      </x:c>
      <x:c r="C16" s="74" t="str">
        <x:v>Integer</x:v>
      </x:c>
      <x:c r="D16" s="74" t="str">
        <x:v>Unique positive number</x:v>
      </x:c>
      <x:c r="E16" s="74" t="str">
        <x:v>Stable resource identifier</x:v>
      </x:c>
      <x:c r="F16" s="74" t="str">
        <x:v>Never reuse an ID after publication.</x:v>
      </x:c>
      <x:c r="G16" s="64"/>
      <x:c r="H16" s="64"/>
    </x:row>
    <x:row r="17" ht="43.5" customHeight="1">
      <x:c r="A17" s="75" t="str">
        <x:v>title</x:v>
      </x:c>
      <x:c r="B17" s="75" t="str">
        <x:v>Yes</x:v>
      </x:c>
      <x:c r="C17" s="75" t="str">
        <x:v>Text</x:v>
      </x:c>
      <x:c r="D17" s="75" t="str">
        <x:v>Resource title</x:v>
      </x:c>
      <x:c r="E17" s="75" t="str">
        <x:v>Card and search title</x:v>
      </x:c>
      <x:c r="F17" s="75" t="str">
        <x:v>Use the creator’s official title.</x:v>
      </x:c>
      <x:c r="G17" s="64"/>
      <x:c r="H17" s="64"/>
    </x:row>
    <x:row r="18" ht="43.5" customHeight="1">
      <x:c r="A18" s="74" t="str">
        <x:v>creator</x:v>
      </x:c>
      <x:c r="B18" s="74" t="str">
        <x:v>Yes</x:v>
      </x:c>
      <x:c r="C18" s="74" t="str">
        <x:v>Text</x:v>
      </x:c>
      <x:c r="D18" s="74" t="str">
        <x:v>Person or organization</x:v>
      </x:c>
      <x:c r="E18" s="74" t="str">
        <x:v>Creator filter and attribution</x:v>
      </x:c>
      <x:c r="F18" s="74" t="str">
        <x:v>Use a consistent organization name.</x:v>
      </x:c>
      <x:c r="G18" s="64"/>
      <x:c r="H18" s="64"/>
    </x:row>
    <x:row r="19" ht="43.5" customHeight="1">
      <x:c r="A19" s="75" t="str">
        <x:v>description</x:v>
      </x:c>
      <x:c r="B19" s="75" t="str">
        <x:v>Yes</x:v>
      </x:c>
      <x:c r="C19" s="75" t="str">
        <x:v>Text</x:v>
      </x:c>
      <x:c r="D19" s="75" t="str">
        <x:v>Plain-language summary</x:v>
      </x:c>
      <x:c r="E19" s="75" t="str">
        <x:v>Search and resource card</x:v>
      </x:c>
      <x:c r="F19" s="75" t="str">
        <x:v>Describe content and intended use; avoid promotional copy.</x:v>
      </x:c>
      <x:c r="G19" s="64"/>
      <x:c r="H19" s="64"/>
    </x:row>
    <x:row r="20" ht="43.5" customHeight="1">
      <x:c r="A20" s="74" t="str">
        <x:v>level</x:v>
      </x:c>
      <x:c r="B20" s="74" t="str">
        <x:v>Yes</x:v>
      </x:c>
      <x:c r="C20" s="74" t="str">
        <x:v>Validated text</x:v>
      </x:c>
      <x:c r="D20" s="74" t="str">
        <x:v>See Lookups</x:v>
      </x:c>
      <x:c r="E20" s="74" t="str">
        <x:v>Learning-depth filter</x:v>
      </x:c>
      <x:c r="F20" s="74" t="str">
        <x:v>Choose by learning objective and assumed prior knowledge—not topic or trainee rank.</x:v>
      </x:c>
      <x:c r="G20" s="64"/>
      <x:c r="H20" s="64"/>
    </x:row>
    <x:row r="21" ht="43.5" customHeight="1">
      <x:c r="A21" s="75" t="str">
        <x:v>specialties</x:v>
      </x:c>
      <x:c r="B21" s="75" t="str">
        <x:v>Yes</x:v>
      </x:c>
      <x:c r="C21" s="75" t="str">
        <x:v>Pipe-delimited text</x:v>
      </x:c>
      <x:c r="D21" s="75" t="str">
        <x:v>See Lookups</x:v>
      </x:c>
      <x:c r="E21" s="75" t="str">
        <x:v>Subspecialty filters</x:v>
      </x:c>
      <x:c r="F21" s="75" t="str">
        <x:v>Use exact lookup spelling and separate multiple values with |.</x:v>
      </x:c>
      <x:c r="G21" s="64"/>
      <x:c r="H21" s="64"/>
    </x:row>
    <x:row r="22" ht="43.5" customHeight="1">
      <x:c r="A22" s="74" t="str">
        <x:v>population</x:v>
      </x:c>
      <x:c r="B22" s="74" t="str">
        <x:v>Yes</x:v>
      </x:c>
      <x:c r="C22" s="74" t="str">
        <x:v>Validated code</x:v>
      </x:c>
      <x:c r="D22" s="74" t="str">
        <x:v>adult, pediatric, both</x:v>
      </x:c>
      <x:c r="E22" s="74" t="str">
        <x:v>Patient-population filter</x:v>
      </x:c>
      <x:c r="F22" s="74" t="str">
        <x:v>both resources appear under Adult and Pediatric filters.</x:v>
      </x:c>
      <x:c r="G22" s="64"/>
      <x:c r="H22" s="64"/>
    </x:row>
    <x:row r="23" ht="43.5" customHeight="1">
      <x:c r="A23" s="75" t="str">
        <x:v>format</x:v>
      </x:c>
      <x:c r="B23" s="75" t="str">
        <x:v>Yes</x:v>
      </x:c>
      <x:c r="C23" s="75" t="str">
        <x:v>Validated code</x:v>
      </x:c>
      <x:c r="D23" s="75" t="str">
        <x:v>See Lookups</x:v>
      </x:c>
      <x:c r="E23" s="75" t="str">
        <x:v>Format filter and card label</x:v>
      </x:c>
      <x:c r="F23" s="75" t="str">
        <x:v>Use one primary format.</x:v>
      </x:c>
      <x:c r="G23" s="64"/>
      <x:c r="H23" s="64"/>
    </x:row>
    <x:row r="24" ht="43.5" customHeight="1">
      <x:c r="A24" s="74" t="str">
        <x:v>review</x:v>
      </x:c>
      <x:c r="B24" s="74" t="str">
        <x:v>No</x:v>
      </x:c>
      <x:c r="C24" s="74" t="str">
        <x:v>Validated code</x:v>
      </x:c>
      <x:c r="D24" s="74" t="str">
        <x:v>Blank or ndec</x:v>
      </x:c>
      <x:c r="E24" s="74" t="str">
        <x:v>NDEC Peer Reviewed label</x:v>
      </x:c>
      <x:c r="F24" s="74" t="str">
        <x:v>Blank means the site makes no review-status statement.</x:v>
      </x:c>
      <x:c r="G24" s="64"/>
      <x:c r="H24" s="64"/>
    </x:row>
    <x:row r="25" ht="43.5" customHeight="1">
      <x:c r="A25" s="75" t="str">
        <x:v>access</x:v>
      </x:c>
      <x:c r="B25" s="75" t="str">
        <x:v>Yes</x:v>
      </x:c>
      <x:c r="C25" s="75" t="str">
        <x:v>Validated code</x:v>
      </x:c>
      <x:c r="D25" s="75" t="str">
        <x:v>See Lookups</x:v>
      </x:c>
      <x:c r="E25" s="75" t="str">
        <x:v>Access filter and card label</x:v>
      </x:c>
      <x:c r="F25" s="75" t="str">
        <x:v>Describe access to the resource itself.</x:v>
      </x:c>
      <x:c r="G25" s="64"/>
      <x:c r="H25" s="64"/>
    </x:row>
    <x:row r="26" ht="43.5" customHeight="1">
      <x:c r="A26" s="74" t="str">
        <x:v>duration</x:v>
      </x:c>
      <x:c r="B26" s="74" t="str">
        <x:v>Yes</x:v>
      </x:c>
      <x:c r="C26" s="74" t="str">
        <x:v>Text</x:v>
      </x:c>
      <x:c r="D26" s="74" t="str">
        <x:v>e.g., 5 min, Course, Collection</x:v>
      </x:c>
      <x:c r="E26" s="74" t="str">
        <x:v>Time/extent shown on card</x:v>
      </x:c>
      <x:c r="F26" s="74" t="str">
        <x:v>Use concise reader-facing wording.</x:v>
      </x:c>
      <x:c r="G26" s="64"/>
      <x:c r="H26" s="64"/>
    </x:row>
    <x:row r="27" ht="43.5" customHeight="1">
      <x:c r="A27" s="75" t="str">
        <x:v>year</x:v>
      </x:c>
      <x:c r="B27" s="75" t="str">
        <x:v>Yes</x:v>
      </x:c>
      <x:c r="C27" s="75" t="str">
        <x:v>Integer</x:v>
      </x:c>
      <x:c r="D27" s="75" t="str">
        <x:v>YYYY</x:v>
      </x:c>
      <x:c r="E27" s="75" t="str">
        <x:v>Date-oriented repository sorting</x:v>
      </x:c>
      <x:c r="F27" s="75" t="str">
        <x:v>Mirrors the current website year value.</x:v>
      </x:c>
      <x:c r="G27" s="64"/>
      <x:c r="H27" s="64"/>
    </x:row>
    <x:row r="28" ht="43.5" customHeight="1">
      <x:c r="A28" s="74" t="str">
        <x:v>featured</x:v>
      </x:c>
      <x:c r="B28" s="74" t="str">
        <x:v>Yes</x:v>
      </x:c>
      <x:c r="C28" s="74" t="str">
        <x:v>Integer</x:v>
      </x:c>
      <x:c r="D28" s="74" t="str">
        <x:v>0–100</x:v>
      </x:c>
      <x:c r="E28" s="74" t="str">
        <x:v>Featured ordering score</x:v>
      </x:c>
      <x:c r="F28" s="74" t="str">
        <x:v>Higher values rank earlier in Featured sorting.</x:v>
      </x:c>
      <x:c r="G28" s="64"/>
      <x:c r="H28" s="64"/>
    </x:row>
    <x:row r="29" ht="43.5" customHeight="1">
      <x:c r="A29" s="75" t="str">
        <x:v>url</x:v>
      </x:c>
      <x:c r="B29" s="75" t="str">
        <x:v>Yes</x:v>
      </x:c>
      <x:c r="C29" s="75" t="str">
        <x:v>URL</x:v>
      </x:c>
      <x:c r="D29" s="75" t="str">
        <x:v>Full https:// URL</x:v>
      </x:c>
      <x:c r="E29" s="75" t="str">
        <x:v>Outbound resource link</x:v>
      </x:c>
      <x:c r="F29" s="75" t="str">
        <x:v>Link directly to the resource or its official landing page.</x:v>
      </x:c>
      <x:c r="G29" s="64"/>
      <x:c r="H29" s="64"/>
    </x:row>
    <x:row r="30" ht="43.5" customHeight="1">
      <x:c r="A30" s="74" t="str">
        <x:v>tags</x:v>
      </x:c>
      <x:c r="B30" s="74" t="str">
        <x:v>Yes</x:v>
      </x:c>
      <x:c r="C30" s="74" t="str">
        <x:v>Pipe-delimited text</x:v>
      </x:c>
      <x:c r="D30" s="74" t="str">
        <x:v>Search terms</x:v>
      </x:c>
      <x:c r="E30" s="74" t="str">
        <x:v>Free-text search matching</x:v>
      </x:c>
      <x:c r="F30" s="74" t="str">
        <x:v>Separate multiple values with |; use concise lowercase terms where practical.</x:v>
      </x:c>
      <x:c r="G30" s="64"/>
      <x:c r="H30" s="64"/>
    </x:row>
    <x:row r="31" ht="43.5" customHeight="1">
      <x:c r="A31" s="75" t="str">
        <x:v>record_check</x:v>
      </x:c>
      <x:c r="B31" s="75" t="str">
        <x:v>Calculated</x:v>
      </x:c>
      <x:c r="C31" s="75" t="str">
        <x:v>Formula</x:v>
      </x:c>
      <x:c r="D31" s="75" t="str">
        <x:v>OK or issue message</x:v>
      </x:c>
      <x:c r="E31" s="75" t="str">
        <x:v>Basic data-quality check</x:v>
      </x:c>
      <x:c r="F31" s="75" t="str">
        <x:v>Do not edit; the table should extend the formula to new rows.</x:v>
      </x:c>
      <x:c r="G31" s="64"/>
      <x:c r="H31" s="64"/>
    </x:row>
  </x:sheetData>
  <x:mergeCells>
    <x:mergeCell ref="A1:H1"/>
    <x:mergeCell ref="A2:H2"/>
    <x:mergeCell ref="A6:H6"/>
    <x:mergeCell ref="A7:H7"/>
    <x:mergeCell ref="A8:H8"/>
    <x:mergeCell ref="A9:H9"/>
    <x:mergeCell ref="A10:H10"/>
    <x:mergeCell ref="A11:H11"/>
    <x:mergeCell ref="A12:H12"/>
    <x:mergeCell ref="A14:H1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1.25" hidden="0" customWidth="1"/>
    <x:col min="3" max="3" width="53.75" hidden="0" customWidth="1"/>
    <x:col min="5" max="5" width="13.75" hidden="0" customWidth="1"/>
    <x:col min="6" max="6" width="20" hidden="0" customWidth="1"/>
    <x:col min="8" max="8" width="13.130000114440918" hidden="0" customWidth="1"/>
    <x:col min="9" max="9" width="18.75" hidden="0" customWidth="1"/>
    <x:col min="11" max="11" width="12.5" hidden="0" customWidth="1"/>
    <x:col min="12" max="12" width="22.5" hidden="0" customWidth="1"/>
    <x:col min="14" max="14" width="12.5" hidden="0" customWidth="1"/>
    <x:col min="15" max="15" width="21.8799991607666" hidden="0" customWidth="1"/>
    <x:col min="17" max="17" width="33.130001068115234" hidden="0" customWidth="1"/>
    <x:col min="4" max="4" width="3" hidden="0" customWidth="1"/>
    <x:col min="7" max="7" width="3" hidden="0" customWidth="1"/>
    <x:col min="10" max="10" width="3" hidden="0" customWidth="1"/>
    <x:col min="13" max="13" width="3" hidden="0" customWidth="1"/>
    <x:col min="16" max="16" width="3" hidden="0" customWidth="1"/>
  </x:cols>
  <x:sheetData>
    <x:row r="1" ht="34.5" customHeight="1">
      <x:c r="A1" s="77" t="str">
        <x:v>Controlled vocabulary and category definitions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77"/>
      <x:c r="N1" s="77"/>
      <x:c r="O1" s="77"/>
      <x:c r="P1" s="77"/>
      <x:c r="Q1" s="77"/>
    </x:row>
    <x:row r="3" ht="25.5" customHeight="1">
      <x:c r="A3" s="79" t="str">
        <x:v>level</x:v>
      </x:c>
      <x:c r="B3" s="79" t="str">
        <x:v>stable_code</x:v>
      </x:c>
      <x:c r="C3" s="79" t="str">
        <x:v>working definition</x:v>
      </x:c>
      <x:c r="E3" s="79" t="str">
        <x:v>population</x:v>
      </x:c>
      <x:c r="F3" s="79" t="str">
        <x:v>display label</x:v>
      </x:c>
      <x:c r="H3" s="79" t="str">
        <x:v>format</x:v>
      </x:c>
      <x:c r="I3" s="79" t="str">
        <x:v>display label</x:v>
      </x:c>
      <x:c r="K3" s="79" t="str">
        <x:v>review</x:v>
      </x:c>
      <x:c r="L3" s="79" t="str">
        <x:v>display label</x:v>
      </x:c>
      <x:c r="N3" s="79" t="str">
        <x:v>access</x:v>
      </x:c>
      <x:c r="O3" s="79" t="str">
        <x:v>display label</x:v>
      </x:c>
      <x:c r="Q3" s="79" t="str">
        <x:v>specialty</x:v>
      </x:c>
    </x:row>
    <x:row r="4" ht="58.5" customHeight="1">
      <x:c r="A4" s="81" t="str">
        <x:v>Neurology Readiness</x:v>
      </x:c>
      <x:c r="B4" s="81" t="str">
        <x:v>L1</x:v>
      </x:c>
      <x:c r="C4" s="81" t="str">
        <x:v>Minimum actionable knowledge: recognize neurologic emergencies, perform an initial assessment, begin stabilization, and know when to escalate.</x:v>
      </x:c>
      <x:c r="E4" s="81" t="str">
        <x:v>adult</x:v>
      </x:c>
      <x:c r="F4" s="81" t="str">
        <x:v>Adult</x:v>
      </x:c>
      <x:c r="H4" s="81" t="str">
        <x:v>video</x:v>
      </x:c>
      <x:c r="I4" s="81" t="str">
        <x:v>Video</x:v>
      </x:c>
      <x:c r="K4" s="57" t="str">
        <x:v>ndec</x:v>
      </x:c>
      <x:c r="L4" s="57" t="str">
        <x:v>NDEC Peer Reviewed</x:v>
      </x:c>
      <x:c r="N4" s="81" t="str">
        <x:v>free</x:v>
      </x:c>
      <x:c r="O4" s="81" t="str">
        <x:v>Free / open access</x:v>
      </x:c>
      <x:c r="Q4" s="81" t="str">
        <x:v>Autonomic Disorders</x:v>
      </x:c>
    </x:row>
    <x:row r="5" ht="58.5" customHeight="1">
      <x:c r="A5" s="81" t="str">
        <x:v>General Neurology Essentials</x:v>
      </x:c>
      <x:c r="B5" s="81" t="str">
        <x:v>L2</x:v>
      </x:c>
      <x:c r="C5" s="81" t="str">
        <x:v>Evaluation of common complaints and conditions: diagnostic criteria, introductory testing, first-line treatment, developmental milestones, seizure syndromes, and introductory EEG concepts.</x:v>
      </x:c>
      <x:c r="E5" s="81" t="str">
        <x:v>both</x:v>
      </x:c>
      <x:c r="F5" s="81" t="str">
        <x:v>Adult &amp; pediatric</x:v>
      </x:c>
      <x:c r="H5" s="81" t="str">
        <x:v>infographic</x:v>
      </x:c>
      <x:c r="I5" s="81" t="str">
        <x:v>Infographic</x:v>
      </x:c>
      <x:c r="N5" s="81" t="str">
        <x:v>login</x:v>
      </x:c>
      <x:c r="O5" s="81" t="str">
        <x:v>Free login required</x:v>
      </x:c>
      <x:c r="Q5" s="81" t="str">
        <x:v>Behavioral Neurology &amp; Neuropsychiatry</x:v>
      </x:c>
    </x:row>
    <x:row r="6" ht="58.5" customHeight="1">
      <x:c r="A6" s="81" t="str">
        <x:v>Core Neurology Practice</x:v>
      </x:c>
      <x:c r="B6" s="81" t="str">
        <x:v>L3</x:v>
      </x:c>
      <x:c r="C6" s="81" t="str">
        <x:v>Full clinical reasoning and management: differential diagnosis, treatment selection, neuroimaging and neurophysiology interpretation, demyelinating disease, neuromuscular weakness, and longitudinal care.</x:v>
      </x:c>
      <x:c r="E6" s="57" t="str">
        <x:v>pediatric</x:v>
      </x:c>
      <x:c r="F6" s="57" t="str">
        <x:v>Pediatric</x:v>
      </x:c>
      <x:c r="H6" s="81" t="str">
        <x:v>module</x:v>
      </x:c>
      <x:c r="I6" s="81" t="str">
        <x:v>Online module</x:v>
      </x:c>
      <x:c r="N6" s="81" t="str">
        <x:v>member</x:v>
      </x:c>
      <x:c r="O6" s="81" t="str">
        <x:v>AAN member login</x:v>
      </x:c>
      <x:c r="Q6" s="81" t="str">
        <x:v>Digital Education</x:v>
      </x:c>
    </x:row>
    <x:row r="7" ht="58.5" customHeight="1">
      <x:c r="A7" s="57" t="str">
        <x:v>Advanced &amp; Subspecialty Practice</x:v>
      </x:c>
      <x:c r="B7" s="57" t="str">
        <x:v>L4</x:v>
      </x:c>
      <x:c r="C7" s="57" t="str">
        <x:v>Complex, uncommon, or nuanced material requiring substantial prior knowledge and advanced clinical judgment.</x:v>
      </x:c>
      <x:c r="H7" s="81" t="str">
        <x:v>article</x:v>
      </x:c>
      <x:c r="I7" s="81" t="str">
        <x:v>Article</x:v>
      </x:c>
      <x:c r="N7" s="81" t="str">
        <x:v>paid</x:v>
      </x:c>
      <x:c r="O7" s="81" t="str">
        <x:v>Paid</x:v>
      </x:c>
      <x:c r="Q7" s="81" t="str">
        <x:v>Epilepsy &amp; Clinical Neurophysiology</x:v>
      </x:c>
    </x:row>
    <x:row r="8" ht="31.5" customHeight="1">
      <x:c r="H8" s="81" t="str">
        <x:v>toolkit</x:v>
      </x:c>
      <x:c r="I8" s="81" t="str">
        <x:v>Toolkit</x:v>
      </x:c>
      <x:c r="N8" s="57" t="str">
        <x:v>mixed</x:v>
      </x:c>
      <x:c r="O8" s="57" t="str">
        <x:v>Mixed access</x:v>
      </x:c>
      <x:c r="Q8" s="81" t="str">
        <x:v>General Neurology</x:v>
      </x:c>
    </x:row>
    <x:row r="9" ht="31.5" customHeight="1">
      <x:c r="H9" s="81" t="str">
        <x:v>game</x:v>
      </x:c>
      <x:c r="I9" s="81" t="str">
        <x:v>Game</x:v>
      </x:c>
      <x:c r="Q9" s="81" t="str">
        <x:v>Headache Medicine</x:v>
      </x:c>
    </x:row>
    <x:row r="10" ht="31.5" customHeight="1">
      <x:c r="H10" s="81" t="str">
        <x:v>reference</x:v>
      </x:c>
      <x:c r="I10" s="81" t="str">
        <x:v>Reference</x:v>
      </x:c>
      <x:c r="Q10" s="81" t="str">
        <x:v>Movement Disorders</x:v>
      </x:c>
    </x:row>
    <x:row r="11" ht="31.5" customHeight="1">
      <x:c r="H11" s="57" t="str">
        <x:v>podcast</x:v>
      </x:c>
      <x:c r="I11" s="57" t="str">
        <x:v>Podcast</x:v>
      </x:c>
      <x:c r="Q11" s="81" t="str">
        <x:v>Multiple Sclerosis &amp; Neuroimmunology</x:v>
      </x:c>
    </x:row>
    <x:row r="12" ht="31.5" customHeight="1">
      <x:c r="Q12" s="81" t="str">
        <x:v>Neuro-oncology</x:v>
      </x:c>
    </x:row>
    <x:row r="13" ht="31.5" customHeight="1">
      <x:c r="Q13" s="81" t="str">
        <x:v>Neuro-ophthalmology</x:v>
      </x:c>
    </x:row>
    <x:row r="14" ht="31.5" customHeight="1">
      <x:c r="Q14" s="81" t="str">
        <x:v>Neuro-otology</x:v>
      </x:c>
    </x:row>
    <x:row r="15" ht="31.5" customHeight="1">
      <x:c r="Q15" s="81" t="str">
        <x:v>Neurocritical Care</x:v>
      </x:c>
    </x:row>
    <x:row r="16" ht="31.5" customHeight="1">
      <x:c r="Q16" s="81" t="str">
        <x:v>Neurogenetics</x:v>
      </x:c>
    </x:row>
    <x:row r="17" ht="31.5" customHeight="1">
      <x:c r="Q17" s="81" t="str">
        <x:v>Neurohospitalist &amp; Acute Neurology</x:v>
      </x:c>
    </x:row>
    <x:row r="18" ht="31.5" customHeight="1">
      <x:c r="Q18" s="81" t="str">
        <x:v>Neuromuscular Medicine</x:v>
      </x:c>
    </x:row>
    <x:row r="19" ht="31.5" customHeight="1">
      <x:c r="Q19" s="81" t="str">
        <x:v>Palliative Neurology</x:v>
      </x:c>
    </x:row>
    <x:row r="20" ht="31.5" customHeight="1">
      <x:c r="Q20" s="81" t="str">
        <x:v>Pediatric Neurology</x:v>
      </x:c>
    </x:row>
    <x:row r="21" ht="31.5" customHeight="1">
      <x:c r="Q21" s="81" t="str">
        <x:v>Sleep Neurology</x:v>
      </x:c>
    </x:row>
    <x:row r="22" ht="31.5" customHeight="1">
      <x:c r="Q22" s="57" t="str">
        <x:v>Vascular Neurology &amp; Stroke</x:v>
      </x:c>
    </x:row>
  </x:sheetData>
  <x:mergeCells>
    <x:mergeCell ref="A1:Q1"/>
  </x:mergeCells>
  <x:pageMargins left="0.7" right="0.7" top="0.75" bottom="0.75" header="0.3" footer="0.3"/>
</x:worksheet>
</file>